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wee\Downloads\"/>
    </mc:Choice>
  </mc:AlternateContent>
  <xr:revisionPtr revIDLastSave="0" documentId="13_ncr:1_{1FAE2798-BFB2-402B-BAF2-D483FBEA106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📊 Dashboard" sheetId="1" r:id="rId1"/>
    <sheet name="📅 Monthly Analysis" sheetId="2" r:id="rId2"/>
    <sheet name="🌆 City Analysis" sheetId="3" r:id="rId3"/>
    <sheet name="👥 Customer Demographics" sheetId="4" r:id="rId4"/>
    <sheet name="📅 Weekday Analysis" sheetId="5" r:id="rId5"/>
    <sheet name="🍛 Cuisine &amp; Restaurants" sheetId="6" r:id="rId6"/>
    <sheet name="📈 Year-over-Year" sheetId="7" r:id="rId7"/>
    <sheet name="🔬 Deep Insights" sheetId="8" r:id="rId8"/>
    <sheet name="🔥 Revenue Heatmap" sheetId="9" r:id="rId9"/>
    <sheet name="🔬Deep insights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2" l="1"/>
  <c r="D17" i="2"/>
  <c r="C17" i="2"/>
  <c r="B17" i="2"/>
</calcChain>
</file>

<file path=xl/sharedStrings.xml><?xml version="1.0" encoding="utf-8"?>
<sst xmlns="http://schemas.openxmlformats.org/spreadsheetml/2006/main" count="474" uniqueCount="370">
  <si>
    <t>🍕  ZOMATO SALES INTELLIGENCE DASHBOARD</t>
  </si>
  <si>
    <t>Oct 2017 – Jun 2020  |  1,48,670 Orders  |  All amounts in INR  |  100% Valid Data</t>
  </si>
  <si>
    <t>💰 Total Revenue</t>
  </si>
  <si>
    <t>🧾 Total Orders</t>
  </si>
  <si>
    <t>🛒 Avg Order Value</t>
  </si>
  <si>
    <t>👤 Unique Customers</t>
  </si>
  <si>
    <t>🍽️ Restaurants</t>
  </si>
  <si>
    <t>📦 Items Sold</t>
  </si>
  <si>
    <t>₹98.66 Crore</t>
  </si>
  <si>
    <t>1,48,670</t>
  </si>
  <si>
    <t>₹6,636</t>
  </si>
  <si>
    <t>77,584</t>
  </si>
  <si>
    <t>1,46,942</t>
  </si>
  <si>
    <t>24.3 Lakh</t>
  </si>
  <si>
    <t xml:space="preserve">  EXECUTIVE SUMMARY — KEY METRICS AT A GLANCE</t>
  </si>
  <si>
    <t>Metric</t>
  </si>
  <si>
    <t>Value</t>
  </si>
  <si>
    <t>Benchmark</t>
  </si>
  <si>
    <t>Status</t>
  </si>
  <si>
    <t>Jan Revenue (Peak)</t>
  </si>
  <si>
    <t>₹9.97 Cr</t>
  </si>
  <si>
    <t>Highest Month</t>
  </si>
  <si>
    <t>🏆</t>
  </si>
  <si>
    <t>Sep Revenue (Low)</t>
  </si>
  <si>
    <t>₹5.52 Cr</t>
  </si>
  <si>
    <t>Lowest Month</t>
  </si>
  <si>
    <t>⚠️</t>
  </si>
  <si>
    <t>Top City</t>
  </si>
  <si>
    <t>Tirupati</t>
  </si>
  <si>
    <t>₹4.25 Cr total</t>
  </si>
  <si>
    <t>🌆</t>
  </si>
  <si>
    <t>Core Age Group</t>
  </si>
  <si>
    <t>23–27 yrs</t>
  </si>
  <si>
    <t>59.8% of orders</t>
  </si>
  <si>
    <t>👤</t>
  </si>
  <si>
    <t>Top Cuisine</t>
  </si>
  <si>
    <t>North Indian</t>
  </si>
  <si>
    <t>₹3.67 Cr</t>
  </si>
  <si>
    <t>🍛</t>
  </si>
  <si>
    <t>Friday Revenue</t>
  </si>
  <si>
    <t>₹26.4 Cr</t>
  </si>
  <si>
    <t>26.8% of total</t>
  </si>
  <si>
    <t>Weekend Revenue</t>
  </si>
  <si>
    <t>₹17 Lakh</t>
  </si>
  <si>
    <t>Only 0.17%</t>
  </si>
  <si>
    <t>🔴</t>
  </si>
  <si>
    <t>Top Restaurant</t>
  </si>
  <si>
    <t>Domino's</t>
  </si>
  <si>
    <t>₹50.25 Lakh</t>
  </si>
  <si>
    <t>🥇</t>
  </si>
  <si>
    <t>Student Revenue</t>
  </si>
  <si>
    <t>₹52.78 Cr</t>
  </si>
  <si>
    <t>53.5% of total</t>
  </si>
  <si>
    <t>🎓</t>
  </si>
  <si>
    <t>Repeat Rate</t>
  </si>
  <si>
    <t>1.92 orders</t>
  </si>
  <si>
    <t>Per customer</t>
  </si>
  <si>
    <t xml:space="preserve">  NAVIGATE TO EACH SHEET FOR DETAILED ANALYSIS</t>
  </si>
  <si>
    <t xml:space="preserve">  ➤  📅 Monthly Analysis</t>
  </si>
  <si>
    <t>Monthly revenue, orders, AOV trends + charts</t>
  </si>
  <si>
    <t xml:space="preserve">  ➤  🌆 City Analysis</t>
  </si>
  <si>
    <t>Top 10 cities, geography insights + bar chart</t>
  </si>
  <si>
    <t xml:space="preserve">  ➤  👥 Demographics</t>
  </si>
  <si>
    <t>Age, gender, occupation breakdown + pie charts</t>
  </si>
  <si>
    <t xml:space="preserve">  ➤  📅 Weekday Analysis</t>
  </si>
  <si>
    <t>Friday vs weekend paradox + day breakdown</t>
  </si>
  <si>
    <t xml:space="preserve">  ➤  🍛 Cuisine &amp; Restaurants</t>
  </si>
  <si>
    <t>Top cuisines + restaurant leaderboard</t>
  </si>
  <si>
    <t xml:space="preserve">  ➤  📈 Year-over-Year</t>
  </si>
  <si>
    <t>2017–2020 YoY growth + trend chart</t>
  </si>
  <si>
    <t xml:space="preserve">  ➤  🔬 Deep Insights</t>
  </si>
  <si>
    <t>All 10 business questions fully answered</t>
  </si>
  <si>
    <t xml:space="preserve">  ➤  🔥 Revenue Heatmap</t>
  </si>
  <si>
    <t>Month × Weekday heatmap in ₹ Lakhs</t>
  </si>
  <si>
    <t>📅  MONTHLY REVENUE ANALYSIS</t>
  </si>
  <si>
    <t xml:space="preserve">  MONTHLY REVENUE BREAKDOWN  (Oct 2017 – Jun 2020)</t>
  </si>
  <si>
    <t>Month</t>
  </si>
  <si>
    <t>Revenue (₹)</t>
  </si>
  <si>
    <t>Orders</t>
  </si>
  <si>
    <t>Avg Order Value</t>
  </si>
  <si>
    <t>Rev Share %</t>
  </si>
  <si>
    <t>MoM Rank</t>
  </si>
  <si>
    <t>Peak?</t>
  </si>
  <si>
    <t>Quarter</t>
  </si>
  <si>
    <t>Jan</t>
  </si>
  <si>
    <t>🏆 PEAK</t>
  </si>
  <si>
    <t>Q1</t>
  </si>
  <si>
    <t>Feb</t>
  </si>
  <si>
    <t>Mar</t>
  </si>
  <si>
    <t>Apr</t>
  </si>
  <si>
    <t>Q2</t>
  </si>
  <si>
    <t>May</t>
  </si>
  <si>
    <t>Jun</t>
  </si>
  <si>
    <t>Jul</t>
  </si>
  <si>
    <t>⚠️ LOW</t>
  </si>
  <si>
    <t>Q3</t>
  </si>
  <si>
    <t>Aug</t>
  </si>
  <si>
    <t>Sep</t>
  </si>
  <si>
    <t>Oct</t>
  </si>
  <si>
    <t>Q4</t>
  </si>
  <si>
    <t>Nov</t>
  </si>
  <si>
    <t>Dec</t>
  </si>
  <si>
    <t>TOTAL</t>
  </si>
  <si>
    <t xml:space="preserve">  KEY INSIGHTS — MONTHLY ANALYSIS</t>
  </si>
  <si>
    <t>🏆 Highest Revenue Month:</t>
  </si>
  <si>
    <t>January — ₹9.97 Crore (10.1% of total annual revenue). Post-New Year celebrations and January promotions drive peak ordering.</t>
  </si>
  <si>
    <t>⚠️ Lowest Revenue Month:</t>
  </si>
  <si>
    <t>September — ₹5.52 Crore. Monsoon season suppresses food delivery activity. 44.7% lower than January.</t>
  </si>
  <si>
    <t>📈 Strong Q1 Pattern:</t>
  </si>
  <si>
    <t>Jan + Feb + Mar combined = ₹28.2 Crore — consistently the strongest quarter across all years.</t>
  </si>
  <si>
    <t>📉 Summer Slump:</t>
  </si>
  <si>
    <t>Jun–Sep is the weakest stretch. Revenue drops from ₹7.5Cr (Jun) to ₹5.5Cr (Sep) — a 26% slide.</t>
  </si>
  <si>
    <t>📊 August AOV Anomaly:</t>
  </si>
  <si>
    <t>Despite low order count (9,378), August has the highest AOV at ₹7,643 — suggesting fewer but larger orders in monsoon months.</t>
  </si>
  <si>
    <t>🔁 November Surge:</t>
  </si>
  <si>
    <t>Nov bounces back strongly (₹9.33Cr, #2 rank) ahead of festive/winter season. Pre-winter demand spike.</t>
  </si>
  <si>
    <t>🌆  CITY PERFORMANCE ANALYSIS</t>
  </si>
  <si>
    <t xml:space="preserve">  TOP 10 CITIES BY REVENUE</t>
  </si>
  <si>
    <t>City</t>
  </si>
  <si>
    <t>AOV (₹)</t>
  </si>
  <si>
    <t>Rank</t>
  </si>
  <si>
    <t>Orders Rank</t>
  </si>
  <si>
    <t>City Type</t>
  </si>
  <si>
    <t>Tier-2</t>
  </si>
  <si>
    <t>Electronic City,Blr</t>
  </si>
  <si>
    <t>Metro</t>
  </si>
  <si>
    <t>Baner,Pune</t>
  </si>
  <si>
    <t>Raipur</t>
  </si>
  <si>
    <t>Malviya Nagar,Delhi</t>
  </si>
  <si>
    <t>Sultanpur</t>
  </si>
  <si>
    <t>Tier-3</t>
  </si>
  <si>
    <t>Vastrapur,Ahm</t>
  </si>
  <si>
    <t>Indirapuram,Delhi</t>
  </si>
  <si>
    <t>Navrangpura,Ahm</t>
  </si>
  <si>
    <t>Rohini,Delhi</t>
  </si>
  <si>
    <t xml:space="preserve">  KEY INSIGHTS — CITY ANALYSIS</t>
  </si>
  <si>
    <t>🏆 #1 Revenue City:</t>
  </si>
  <si>
    <t>Tirupati — ₹4.25 Crore total BUT only 242 orders → avg ₹1,75,634/order. Likely bulk/catering orders. Not a true consumer market.</t>
  </si>
  <si>
    <t>📈 Best Consumer Market:</t>
  </si>
  <si>
    <t>Electronic City, Bangalore (1,027 orders, ₹2.86Cr) and Indirapuram, Delhi (1,200 orders, ₹1.30Cr) show best volume + value balance.</t>
  </si>
  <si>
    <t>🌆 Delhi Cluster:</t>
  </si>
  <si>
    <t>Delhi contributes via 3 localities: Malviya Nagar + Indirapuram + Rohini = ₹4.17Cr combined — making it the true #1 metro.</t>
  </si>
  <si>
    <t>💎 Premium Markets:</t>
  </si>
  <si>
    <t>Sultanpur (₹57K AOV) and Raipur (₹47.5K AOV) suggest non-metro cities have high per-order value — possibly B2B demand.</t>
  </si>
  <si>
    <t>🔍 Long-Tail Opportunity:</t>
  </si>
  <si>
    <t>820 unique cities exist in the dataset. Top 10 cities = 20.5% of revenue — highly fragmented market with expansion opportunity.</t>
  </si>
  <si>
    <t>👥  CUSTOMER DEMOGRAPHICS ANALYSIS</t>
  </si>
  <si>
    <t xml:space="preserve">  AGE GROUP ANALYSIS</t>
  </si>
  <si>
    <t>Age Group</t>
  </si>
  <si>
    <t>Segment</t>
  </si>
  <si>
    <t>Profile</t>
  </si>
  <si>
    <t>Peak AOV?</t>
  </si>
  <si>
    <t>18–22</t>
  </si>
  <si>
    <t>Young Adults</t>
  </si>
  <si>
    <t>Students / Fresh Grads</t>
  </si>
  <si>
    <t>23–27</t>
  </si>
  <si>
    <t>Prime Millennials</t>
  </si>
  <si>
    <t>Young Professionals / PG Students</t>
  </si>
  <si>
    <t>28–32</t>
  </si>
  <si>
    <t>Established Adults</t>
  </si>
  <si>
    <t>Mid-career Professionals</t>
  </si>
  <si>
    <t>33–37</t>
  </si>
  <si>
    <t>Senior Professionals</t>
  </si>
  <si>
    <t>High AOV, Low Frequency</t>
  </si>
  <si>
    <t>🏆 Highest AOV</t>
  </si>
  <si>
    <t xml:space="preserve">  GENDER ANALYSIS</t>
  </si>
  <si>
    <t>Gender</t>
  </si>
  <si>
    <t>Orders Share %</t>
  </si>
  <si>
    <t>Insight</t>
  </si>
  <si>
    <t>Higher AOV — premium ordering habit</t>
  </si>
  <si>
    <t>Male</t>
  </si>
  <si>
    <t>More orders — higher frequency</t>
  </si>
  <si>
    <t xml:space="preserve">  OCCUPATION ANALYSIS</t>
  </si>
  <si>
    <t>Occupation</t>
  </si>
  <si>
    <t>Key Insight</t>
  </si>
  <si>
    <t>Student</t>
  </si>
  <si>
    <t>Core audience — hostel/PG lifestyle drives daily ordering</t>
  </si>
  <si>
    <t>Employee</t>
  </si>
  <si>
    <t>Office lunch &amp; dinner — weekday ordering pattern</t>
  </si>
  <si>
    <t>Self Employed</t>
  </si>
  <si>
    <t>Flexible schedule — consistent mid-week orders</t>
  </si>
  <si>
    <t>House Wife</t>
  </si>
  <si>
    <t>Untapped — only 2.3% share despite large population</t>
  </si>
  <si>
    <t xml:space="preserve">  KEY INSIGHTS — DEMOGRAPHICS</t>
  </si>
  <si>
    <t>🎯 Core Customer:</t>
  </si>
  <si>
    <t>23–27 yr olds place 59.8% of all orders &amp; 59.8% of revenue — this IS the Zomato customer. All marketing should center on this group.</t>
  </si>
  <si>
    <t>⚧ Gender Paradox:</t>
  </si>
  <si>
    <t>Males order 57.2% of the time but females spend 2% MORE per order (₹6,713 vs ₹6,578). Female = quality buyer, Male = frequency buyer.</t>
  </si>
  <si>
    <t>🎓 Student Dominance:</t>
  </si>
  <si>
    <t>Students contribute 53.5% of revenue — counterintuitive given income levels. Driven by hostel/PG lifestyle, peer influence, and convenience.</t>
  </si>
  <si>
    <t>🏠 Housewife Gap:</t>
  </si>
  <si>
    <t>Only 3,423 orders from housewives — represents a massive untapped home-delivery &amp; weekend meal-prep market worth pursuing.</t>
  </si>
  <si>
    <t>💡 33–37 Premium Insight:</t>
  </si>
  <si>
    <t>Despite tiny volume (373 orders), 33–37 yr olds have highest AOV (₹7,110). Retention of older customers = premium revenue.</t>
  </si>
  <si>
    <t>📅  WEEKDAY vs WEEKEND ANALYSIS</t>
  </si>
  <si>
    <t xml:space="preserve">  DAY-WISE REVENUE BREAKDOWN</t>
  </si>
  <si>
    <t>Day</t>
  </si>
  <si>
    <t>Type</t>
  </si>
  <si>
    <t>vs Friday</t>
  </si>
  <si>
    <t>Monday</t>
  </si>
  <si>
    <t>Weekday</t>
  </si>
  <si>
    <t>Tuesday</t>
  </si>
  <si>
    <t>Wednesday</t>
  </si>
  <si>
    <t>Thursday</t>
  </si>
  <si>
    <t>Friday</t>
  </si>
  <si>
    <t>🏆 PEAK DAY</t>
  </si>
  <si>
    <t>Saturday</t>
  </si>
  <si>
    <t>Weekend</t>
  </si>
  <si>
    <t>🔴 Weekend Crash</t>
  </si>
  <si>
    <t>Sunday</t>
  </si>
  <si>
    <t>⚠️ Lowest Weekend</t>
  </si>
  <si>
    <t xml:space="preserve">  WEEKEND vs WEEKDAY SUMMARY</t>
  </si>
  <si>
    <t>Category</t>
  </si>
  <si>
    <t>Verdict</t>
  </si>
  <si>
    <t>📈 Weekday (Mon-Fri)</t>
  </si>
  <si>
    <t>Dominant — 99.8% of all revenue</t>
  </si>
  <si>
    <t>📉 Weekend (Sat-Sun)</t>
  </si>
  <si>
    <t>⚠️ Severely underperforming — only 0.17%!</t>
  </si>
  <si>
    <t xml:space="preserve">  KEY INSIGHTS — WEEKDAY ANALYSIS</t>
  </si>
  <si>
    <t>🏆 Friday Effect:</t>
  </si>
  <si>
    <t>Friday generates ₹26.4 Crore — 26.8% of ALL revenue. Peak AOV (₹7,562) suggests pre-weekend celebration ordering with larger group meals.</t>
  </si>
  <si>
    <t>⚠️ Weekend Paradox:</t>
  </si>
  <si>
    <t>Saturday + Sunday = only ₹17 Lakh combined (0.17%). This is 152× less than Friday alone. The platform is NOT used for leisure weekend dining.</t>
  </si>
  <si>
    <t>💼 B2B Signal:</t>
  </si>
  <si>
    <t>Mon–Thu is flat and consistent (₹16.6–18.8Cr range) — strong sign of office/corporate meal ordering as a weekday routine.</t>
  </si>
  <si>
    <t>🎯 Friday Strategy:</t>
  </si>
  <si>
    <t>Friday is the single most important day. Special Friday deals, group ordering discounts, and restaurant partnerships should be Friday-first.</t>
  </si>
  <si>
    <t>🔴 Weekend Crisis:</t>
  </si>
  <si>
    <t>0.17% weekend revenue from 2 out of 7 days = massive missed opportunity. Weekend campaigns, brunch deals, family meal combos are urgently needed.</t>
  </si>
  <si>
    <t>📊 Wed-Thu Strength:</t>
  </si>
  <si>
    <t>Wednesday (₹18.8Cr) and Thursday (₹18.9Cr) are strong mid-week performers — possible corporate bulk ordering for team lunches.</t>
  </si>
  <si>
    <t>🍛  CUISINE &amp; RESTAURANT ANALYSIS</t>
  </si>
  <si>
    <t xml:space="preserve">  TOP CUISINE ANALYSIS (excl. Unknown)</t>
  </si>
  <si>
    <t>Cuisine</t>
  </si>
  <si>
    <t>Note</t>
  </si>
  <si>
    <t>Most ordered cuisine</t>
  </si>
  <si>
    <t>Chinese</t>
  </si>
  <si>
    <t>Strong #2 — pan-India appeal</t>
  </si>
  <si>
    <t>Indian</t>
  </si>
  <si>
    <t>Generic Indian food category</t>
  </si>
  <si>
    <t>Desserts</t>
  </si>
  <si>
    <t>High frequency snack orders</t>
  </si>
  <si>
    <t>South Indian</t>
  </si>
  <si>
    <t>Budget-friendly, high volume</t>
  </si>
  <si>
    <t>Beverages</t>
  </si>
  <si>
    <t>Premium drinks — high AOV</t>
  </si>
  <si>
    <t>Pizzas</t>
  </si>
  <si>
    <t>Branded chains dominate</t>
  </si>
  <si>
    <t>Biryani</t>
  </si>
  <si>
    <t>Value segment — low AOV</t>
  </si>
  <si>
    <t>Bakery</t>
  </si>
  <si>
    <t>Morning &amp; snack orders</t>
  </si>
  <si>
    <t>Fast Food</t>
  </si>
  <si>
    <t>Lowest AOV — mass market</t>
  </si>
  <si>
    <t>Ice Cream</t>
  </si>
  <si>
    <t>Seasonal demand patterns</t>
  </si>
  <si>
    <t>American</t>
  </si>
  <si>
    <t>Premium — highest AOV</t>
  </si>
  <si>
    <t xml:space="preserve">  TOP 12 RESTAURANTS BY REVENUE</t>
  </si>
  <si>
    <t>Restaurant</t>
  </si>
  <si>
    <t>Signal</t>
  </si>
  <si>
    <t>Domino's Pizza</t>
  </si>
  <si>
    <t>High volume chain</t>
  </si>
  <si>
    <t>Kouzina Kafe - Food Court</t>
  </si>
  <si>
    <t>🥈</t>
  </si>
  <si>
    <t>Premium catering</t>
  </si>
  <si>
    <t>Sweet Truth - Cake &amp; Desserts</t>
  </si>
  <si>
    <t>🥉</t>
  </si>
  <si>
    <t>Dessert chain</t>
  </si>
  <si>
    <t>Pizza Hut</t>
  </si>
  <si>
    <t>4</t>
  </si>
  <si>
    <t>Value chain</t>
  </si>
  <si>
    <t>Huber &amp; Holly</t>
  </si>
  <si>
    <t>5</t>
  </si>
  <si>
    <t>Ultra-premium</t>
  </si>
  <si>
    <t>Biryani House</t>
  </si>
  <si>
    <t>6</t>
  </si>
  <si>
    <t>Biryani specialist</t>
  </si>
  <si>
    <t>Baskin Robbins</t>
  </si>
  <si>
    <t>7</t>
  </si>
  <si>
    <t>Ice cream chain</t>
  </si>
  <si>
    <t>KFC</t>
  </si>
  <si>
    <t>8</t>
  </si>
  <si>
    <t>QSR global</t>
  </si>
  <si>
    <t>McCafe by McDonald's</t>
  </si>
  <si>
    <t>9</t>
  </si>
  <si>
    <t>Premium cafe</t>
  </si>
  <si>
    <t>Janta Snacks</t>
  </si>
  <si>
    <t>10</t>
  </si>
  <si>
    <t>Single bulk order</t>
  </si>
  <si>
    <t>Happy Brew Cafe</t>
  </si>
  <si>
    <t>11</t>
  </si>
  <si>
    <t>Subway</t>
  </si>
  <si>
    <t>12</t>
  </si>
  <si>
    <t>Sandwich chain</t>
  </si>
  <si>
    <t xml:space="preserve">  KEY INSIGHTS — CUISINE &amp; RESTAURANTS</t>
  </si>
  <si>
    <t>🍛 Cuisine King:</t>
  </si>
  <si>
    <t>North Indian dominates with ₹3.67 Crore from 5,399 orders. It is 2.1× the revenue of #2 Chinese cuisine. Universal Indian appeal.</t>
  </si>
  <si>
    <t>💎 Premium Signal:</t>
  </si>
  <si>
    <t>American cuisine has highest AOV at ₹7,466 — premium positioning. Beverages AOV (₹7,239) also elevated, suggesting premium drinks add-ons.</t>
  </si>
  <si>
    <t>💰 Value Trap:</t>
  </si>
  <si>
    <t>Fast Food (₹5,150 AOV) and Biryani (₹5,410 AOV) have lowest AOV — popular but low margin. South Indian also value-segment.</t>
  </si>
  <si>
    <t>⚠️ Unknown Gap:</t>
  </si>
  <si>
    <t>82.5% of orders are 'Unknown' cuisine — this data gap hides true cuisine demand. Fixing this alone would transform analytics accuracy.</t>
  </si>
  <si>
    <t>🏆 Restaurant Leader:</t>
  </si>
  <si>
    <t>Domino's Pizza leads with ₹50.25 Lakh from 435 orders (₹11,552 AOV). Consistent branded experience drives repeat volume.</t>
  </si>
  <si>
    <t>🎯 Bulk Order Alert:</t>
  </si>
  <si>
    <t>Janta Snacks &amp; Happy Brew Cafe appear in top 12 with SINGLE orders of ₹15.1L and ₹14.8L — likely catering. Outlier cleaning needed.</t>
  </si>
  <si>
    <t>📈  YEAR-OVER-YEAR GROWTH ANALYSIS</t>
  </si>
  <si>
    <t xml:space="preserve">  YEARLY PERFORMANCE BREAKDOWN</t>
  </si>
  <si>
    <t>Year</t>
  </si>
  <si>
    <t>YoY Growth</t>
  </si>
  <si>
    <t>AOV Growth</t>
  </si>
  <si>
    <t>2017 (Q4 only)</t>
  </si>
  <si>
    <t>Partial year — Oct to Dec launch phase</t>
  </si>
  <si>
    <t>2018</t>
  </si>
  <si>
    <t>+342.8%</t>
  </si>
  <si>
    <t>+6.2%</t>
  </si>
  <si>
    <t>🏆 PEAK YEAR — full year, highest revenue</t>
  </si>
  <si>
    <t>2019</t>
  </si>
  <si>
    <t>-18.8%</t>
  </si>
  <si>
    <t>-4.6%</t>
  </si>
  <si>
    <t>📉 Decline year — 18.8% revenue drop</t>
  </si>
  <si>
    <t>2020 (H1 only)</t>
  </si>
  <si>
    <t>-57.7%</t>
  </si>
  <si>
    <t>+2.4%</t>
  </si>
  <si>
    <t>COVID impact — Jan–Jun partial data</t>
  </si>
  <si>
    <t xml:space="preserve">  KEY INSIGHTS — YEAR-OVER-YEAR</t>
  </si>
  <si>
    <t>📈 2018 Peak:</t>
  </si>
  <si>
    <t>2018 is the best year with ₹41.43 Crore across 60,866 orders. Highest AOV (₹6,807) confirms quality growth, not just volume.</t>
  </si>
  <si>
    <t>📉 2019 Decline:</t>
  </si>
  <si>
    <t>Revenue fell 18.8% from ₹41.4Cr to ₹33.6Cr despite a full year of operations. This signals market saturation or competitive pressure from Swiggy/others.</t>
  </si>
  <si>
    <t>🦠 2020 Impact:</t>
  </si>
  <si>
    <t>Jan–Jun 2020 shows ₹14.22 Cr. Annualized projection = ~₹28.4Cr — a further 15.5% drop likely due to COVID-19 lockdowns in Q2.</t>
  </si>
  <si>
    <t>💡 AOV Stability:</t>
  </si>
  <si>
    <t>AOV remained remarkably stable: ₹6,408–₹6,807 across all years. Customers don't change spend-per-order — they change frequency.</t>
  </si>
  <si>
    <t>🎯 2017 Baseline:</t>
  </si>
  <si>
    <t>Q4 2017 (Oct–Dec only) generated ₹9.36 Cr from 14,602 orders. This strong launch quarter suggests rapid early adoption.</t>
  </si>
  <si>
    <t>🔬  DEEP INSIGHTS — 10 KEY BUSINESS QUESTIONS ANSWERED</t>
  </si>
  <si>
    <t xml:space="preserve">  01.  Q1 — Highest Revenue Month?</t>
  </si>
  <si>
    <t>ANSWER: January generates ₹9.97 Crore — the highest of any month (10.1% of total). Post-New Year celebrations and January promotions drive peak ordering. November is a close #2 at ₹9.33Cr. September is the worst month at ₹5.52Cr — a 44.7% gap. The Q1 block (Jan–Mar = ₹28.2Cr) consistently beats all other quarters. KEY ACTION: Double down on January campaigns; prepare for September slump with promotions.</t>
  </si>
  <si>
    <t xml:space="preserve">  02.  Q2 — Best Performing City?</t>
  </si>
  <si>
    <t>ANSWER: Tirupati tops revenue at ₹4.25 Crore but has only 242 orders (₹1,75,634 avg/order) — likely bulk/catering, not consumer. For real consumer markets: Electronic City Bangalore (1,027 orders, ₹2.86Cr) and Baner Pune (808 orders, ₹2.68Cr) are the strongest. Delhi as a metro cluster (3 localities combined) = ₹4.17Cr. KEY ACTION: Invest in Bangalore and Pune consumer growth; investigate Tirupati bulk orders.</t>
  </si>
  <si>
    <t xml:space="preserve">  03.  Q3 — Which Age Group Spends Most?</t>
  </si>
  <si>
    <t>ANSWER: The 23–27 age group is dominant — ₹59.05 Crore from 88,987 orders (59.8% of all orders). This is young professionals and PG/hostel students. 18–22 is second (₹24.23Cr). Crucially, 33–37 yr olds have the HIGHEST AOV at ₹7,110 — older = premium. 38+ is negligible. KEY ACTION: Core product for 23–27; build premium retention for 28+ to capture high-AOV segment.</t>
  </si>
  <si>
    <t xml:space="preserve">  04.  Q4 — Which Cuisine Dominates?</t>
  </si>
  <si>
    <t>ANSWER: North Indian leads with ₹3.67 Crore (5,399 orders) — 2.1× Chinese (#2). However, 82.5% of orders fall under 'Unknown' cuisine — a massive data quality gap that distorts the real picture. American has the highest AOV (₹7,466) — premium category. Fast Food and Biryani are value-segment with lowest AOVs (₹5,150–₹5,410). KEY ACTION: Fix 'Unknown' cuisine tagging urgently; promote American/premium cuisine for AOV growth.</t>
  </si>
  <si>
    <t xml:space="preserve">  05.  Q5 — Weekend vs Weekday?</t>
  </si>
  <si>
    <t>ANSWER: This is the most surprising finding. Friday alone = ₹26.4 Crore (26.8% of total). Saturday + Sunday combined = ₹17 Lakh (0.17%). Friday generates 152× more revenue than Sunday. AOV crashes on weekends: Sunday ₹2,634 vs Friday ₹7,562. The platform is purely a WORK-DAY tool. KEY ACTION: Emergency weekend growth program — brunch deals, family combos, Saturday promotions. Massive untapped opportunity.</t>
  </si>
  <si>
    <t xml:space="preserve">  06.  Q6 — Gender Spending Behaviour?</t>
  </si>
  <si>
    <t>ANSWER: Males place 57.2% of orders (85,029) and generate 56.7% of revenue (₹55.9Cr). BUT females have HIGHER AOV — ₹6,713 vs ₹6,578 for males (+2%). Females = quality buyers. Males = frequency buyers. All housewife revenue (₹2.26Cr) is female. Female students = ₹23.48Cr. KEY ACTION: Target females for premium/upsell; target males for frequency/subscription programs.</t>
  </si>
  <si>
    <t xml:space="preserve">  07.  Q7 — Best Occupation Segment?</t>
  </si>
  <si>
    <t>ANSWER: Students #1 with ₹52.78 Crore (53.5%) from 79,187 orders. Counterintuitive given low income — driven by hostel/PG lifestyle and peer ordering culture. Employees are #2 (₹29.99Cr). Housewives = only ₹2.26Cr (2.3%) from 3,423 orders — severely underrepresented. KEY ACTION: Double down on college campus marketing; launch dedicated housewife/home-delivery campaigns for weekend revenue.</t>
  </si>
  <si>
    <t xml:space="preserve">  08.  Q8 — Year-over-Year Growth? (Bonus)</t>
  </si>
  <si>
    <t>ANSWER: 2018 was the peak year — ₹41.43 Crore across 60,866 orders, highest AOV (₹6,807). 2019 saw an 18.8% revenue decline despite full operations — market saturation or competitive pressure. 2020 partial (Jan–Jun) projects to ₹28.4Cr annualized — COVID-19 impact on H1 2020. AOV is remarkably stable (₹6,400–₹6,807) — spend per order is consistent, only ordering frequency drops. KEY ACTION: Focus on retention and frequency; AOV is not the problem.</t>
  </si>
  <si>
    <t xml:space="preserve">  09.  Q9 — Top Restaurant Insight? (Bonus)</t>
  </si>
  <si>
    <t>ANSWER: Domino's Pizza leads with ₹50.25 Lakh from 435 orders (₹11,552 AOV) — the most consistent branded performer. Huber &amp; Holly has a ₹1,28,330 AOV from just 13 orders — ultra-premium. Single-order restaurants (Janta Snacks ₹15.1L, Happy Brew Cafe ₹14.8L) are outliers — bulk catering orders skew rankings. Top 12 restaurants = only 1.4% of total revenue — extremely fragmented, long-tail market. KEY ACTION: Partner exclusively with top 50 chains for premium placement; clean bulk-order outliers from consumer analytics.</t>
  </si>
  <si>
    <t xml:space="preserve">  10.  Q10 — Customer Repeat Rate? (Bonus)</t>
  </si>
  <si>
    <t>ANSWER: 1,48,670 orders from 77,584 unique customers = 1.92 orders/customer over 3 years. Critically low. This implies ~50% of all customers ordered ONLY ONCE. The 23–27 group (88,987 orders) likely carries most repeat behavior. Low repeat rate = high churn = expensive acquisition treadmill. KEY ACTION: Launch loyalty/rewards program immediately. Increasing repeat orders from 1.92 to 2.5 per customer would add ~₹45 Crore in incremental revenue.</t>
  </si>
  <si>
    <t>🔥  REVENUE HEATMAP — MONTH × DAY OF WEEK (in ₹ Lakhs)</t>
  </si>
  <si>
    <t>Mon</t>
  </si>
  <si>
    <t>Tue</t>
  </si>
  <si>
    <t>Wed</t>
  </si>
  <si>
    <t>Thu</t>
  </si>
  <si>
    <t>Fri</t>
  </si>
  <si>
    <t>Sat</t>
  </si>
  <si>
    <t>Sun</t>
  </si>
  <si>
    <t>-</t>
  </si>
  <si>
    <t>📌  Values in ₹ Lakhs  |  Deeper red = higher revenue  |  Friday-January (₹270.55L) is the hottest cell  |  Weekends (Sat/Sun) are near-zero across all months</t>
  </si>
  <si>
    <t xml:space="preserve">Female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</si>
</sst>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0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10"/>
      <color rgb="FFFFDDDD"/>
      <name val="Calibri"/>
    </font>
    <font>
      <b/>
      <sz val="9"/>
      <color rgb="FF8892A8"/>
      <name val="Calibri"/>
    </font>
    <font>
      <b/>
      <sz val="14"/>
      <color rgb="FFE23744"/>
      <name val="Calibri"/>
    </font>
    <font>
      <b/>
      <sz val="14"/>
      <color rgb="FFF59E0B"/>
      <name val="Calibri"/>
    </font>
    <font>
      <b/>
      <sz val="14"/>
      <color rgb="FF22D3EE"/>
      <name val="Calibri"/>
    </font>
    <font>
      <b/>
      <sz val="14"/>
      <color rgb="FF10B981"/>
      <name val="Calibri"/>
    </font>
    <font>
      <b/>
      <sz val="14"/>
      <color rgb="FF8B5CF6"/>
      <name val="Calibri"/>
    </font>
    <font>
      <b/>
      <sz val="14"/>
      <color rgb="FF3B82F6"/>
      <name val="Calibri"/>
    </font>
    <font>
      <b/>
      <sz val="14"/>
      <color rgb="FF1A1A1A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sz val="10"/>
      <color rgb="FFE23744"/>
      <name val="Calibri"/>
    </font>
    <font>
      <sz val="10"/>
      <color rgb="FF8892A8"/>
      <name val="Calibri"/>
    </font>
    <font>
      <sz val="10"/>
      <color rgb="FF22D3EE"/>
      <name val="Calibri"/>
    </font>
    <font>
      <sz val="10"/>
      <color rgb="FFF59E0B"/>
      <name val="Calibri"/>
    </font>
    <font>
      <sz val="10"/>
      <color rgb="FFFFFFFF"/>
      <name val="Calibri"/>
    </font>
    <font>
      <b/>
      <sz val="10"/>
      <color rgb="FFE23744"/>
      <name val="Calibri"/>
    </font>
    <font>
      <b/>
      <sz val="10"/>
      <color rgb="FFF59E0B"/>
      <name val="Calibri"/>
    </font>
    <font>
      <b/>
      <sz val="10"/>
      <color rgb="FF22D3EE"/>
      <name val="Calibri"/>
    </font>
    <font>
      <sz val="9"/>
      <color rgb="FF8892A8"/>
      <name val="Calibri"/>
    </font>
    <font>
      <b/>
      <sz val="14"/>
      <color rgb="FFFFFFFF"/>
      <name val="Calibri"/>
    </font>
    <font>
      <sz val="10"/>
      <color rgb="FF8B5CF6"/>
      <name val="Calibri"/>
    </font>
    <font>
      <b/>
      <sz val="10"/>
      <color rgb="FFEC4899"/>
      <name val="Calibri"/>
    </font>
    <font>
      <sz val="10"/>
      <color rgb="FFEC4899"/>
      <name val="Calibri"/>
    </font>
    <font>
      <b/>
      <sz val="10"/>
      <color rgb="FF3B82F6"/>
      <name val="Calibri"/>
    </font>
    <font>
      <sz val="10"/>
      <color rgb="FF3B82F6"/>
      <name val="Calibri"/>
    </font>
    <font>
      <b/>
      <sz val="10"/>
      <color rgb="FF10B981"/>
      <name val="Calibri"/>
    </font>
    <font>
      <sz val="10"/>
      <color rgb="FF10B981"/>
      <name val="Calibri"/>
    </font>
    <font>
      <b/>
      <sz val="10"/>
      <color rgb="FF8892A8"/>
      <name val="Calibri"/>
    </font>
    <font>
      <b/>
      <sz val="10"/>
      <color rgb="FF8B5CF6"/>
      <name val="Calibri"/>
    </font>
    <font>
      <b/>
      <sz val="10"/>
      <color rgb="FF5A6380"/>
      <name val="Calibri"/>
    </font>
    <font>
      <sz val="10"/>
      <color rgb="FFFF6B6B"/>
      <name val="Calibri"/>
    </font>
    <font>
      <b/>
      <sz val="11"/>
      <color rgb="FF1A1A1A"/>
      <name val="Calibri"/>
    </font>
    <font>
      <b/>
      <sz val="13"/>
      <color rgb="FFFFFFFF"/>
      <name val="Calibri"/>
    </font>
    <font>
      <sz val="9"/>
      <color rgb="FF5A6380"/>
      <name val="Calibri"/>
    </font>
    <font>
      <sz val="9"/>
      <color rgb="FFFFFFFF"/>
      <name val="Calibri"/>
    </font>
    <font>
      <sz val="9"/>
      <color rgb="FF8892A8"/>
      <name val="Calibri"/>
      <family val="2"/>
    </font>
  </fonts>
  <fills count="69">
    <fill>
      <patternFill patternType="none"/>
    </fill>
    <fill>
      <patternFill patternType="gray125"/>
    </fill>
    <fill>
      <patternFill patternType="solid">
        <fgColor rgb="FF1A1E28"/>
      </patternFill>
    </fill>
    <fill>
      <patternFill patternType="solid">
        <fgColor rgb="FFE23744"/>
      </patternFill>
    </fill>
    <fill>
      <patternFill patternType="solid">
        <fgColor rgb="FFC0392B"/>
      </patternFill>
    </fill>
    <fill>
      <patternFill patternType="solid">
        <fgColor rgb="FF252A3A"/>
      </patternFill>
    </fill>
    <fill>
      <patternFill patternType="solid">
        <fgColor rgb="FFF59E0B"/>
      </patternFill>
    </fill>
    <fill>
      <patternFill patternType="solid">
        <fgColor rgb="FF2A2F3F"/>
      </patternFill>
    </fill>
    <fill>
      <patternFill patternType="solid">
        <fgColor rgb="FF161B26"/>
      </patternFill>
    </fill>
    <fill>
      <patternFill patternType="solid">
        <fgColor rgb="FF22D3EE"/>
      </patternFill>
    </fill>
    <fill>
      <patternFill patternType="solid">
        <fgColor rgb="FF1E2838"/>
      </patternFill>
    </fill>
    <fill>
      <patternFill patternType="solid">
        <fgColor rgb="FF8B5CF6"/>
      </patternFill>
    </fill>
    <fill>
      <patternFill patternType="solid">
        <fgColor rgb="FF1E1A2E"/>
      </patternFill>
    </fill>
    <fill>
      <patternFill patternType="solid">
        <fgColor rgb="FFEC4899"/>
      </patternFill>
    </fill>
    <fill>
      <patternFill patternType="solid">
        <fgColor rgb="FF2A1A25"/>
      </patternFill>
    </fill>
    <fill>
      <patternFill patternType="solid">
        <fgColor rgb="FF2A2200"/>
      </patternFill>
    </fill>
    <fill>
      <patternFill patternType="solid">
        <fgColor rgb="FF10B981"/>
      </patternFill>
    </fill>
    <fill>
      <patternFill patternType="solid">
        <fgColor rgb="FF1A2A1A"/>
      </patternFill>
    </fill>
    <fill>
      <patternFill patternType="solid">
        <fgColor rgb="FF2A1A1A"/>
      </patternFill>
    </fill>
    <fill>
      <patternFill patternType="solid">
        <fgColor rgb="FF3B82F6"/>
      </patternFill>
    </fill>
    <fill>
      <patternFill patternType="solid">
        <fgColor rgb="FF1A1A2A"/>
      </patternFill>
    </fill>
    <fill>
      <patternFill patternType="solid">
        <fgColor rgb="FFBF323F"/>
      </patternFill>
    </fill>
    <fill>
      <patternFill patternType="solid">
        <fgColor rgb="FFC1333F"/>
      </patternFill>
    </fill>
    <fill>
      <patternFill patternType="solid">
        <fgColor rgb="FFB2313D"/>
      </patternFill>
    </fill>
    <fill>
      <patternFill patternType="solid">
        <fgColor rgb="FFDA3642"/>
      </patternFill>
    </fill>
    <fill>
      <patternFill patternType="solid">
        <fgColor rgb="FFAB303C"/>
      </patternFill>
    </fill>
    <fill>
      <patternFill patternType="solid">
        <fgColor rgb="FFBE323F"/>
      </patternFill>
    </fill>
    <fill>
      <patternFill patternType="solid">
        <fgColor rgb="FFD33542"/>
      </patternFill>
    </fill>
    <fill>
      <patternFill patternType="solid">
        <fgColor rgb="FFAE303D"/>
      </patternFill>
    </fill>
    <fill>
      <patternFill patternType="solid">
        <fgColor rgb="FFB0313D"/>
      </patternFill>
    </fill>
    <fill>
      <patternFill patternType="solid">
        <fgColor rgb="FFA52F3B"/>
      </patternFill>
    </fill>
    <fill>
      <patternFill patternType="solid">
        <fgColor rgb="FFB8323E"/>
      </patternFill>
    </fill>
    <fill>
      <patternFill patternType="solid">
        <fgColor rgb="FF221F2A"/>
      </patternFill>
    </fill>
    <fill>
      <patternFill patternType="solid">
        <fgColor rgb="FFA62F3C"/>
      </patternFill>
    </fill>
    <fill>
      <patternFill patternType="solid">
        <fgColor rgb="FFC43340"/>
      </patternFill>
    </fill>
    <fill>
      <patternFill patternType="solid">
        <fgColor rgb="FFB4313D"/>
      </patternFill>
    </fill>
    <fill>
      <patternFill patternType="solid">
        <fgColor rgb="FFC3333F"/>
      </patternFill>
    </fill>
    <fill>
      <patternFill patternType="solid">
        <fgColor rgb="FFB1313D"/>
      </patternFill>
    </fill>
    <fill>
      <patternFill patternType="solid">
        <fgColor rgb="FFA02F3B"/>
      </patternFill>
    </fill>
    <fill>
      <patternFill patternType="solid">
        <fgColor rgb="FFBA323E"/>
      </patternFill>
    </fill>
    <fill>
      <patternFill patternType="solid">
        <fgColor rgb="FFAA303C"/>
      </patternFill>
    </fill>
    <fill>
      <patternFill patternType="solid">
        <fgColor rgb="FFCA3440"/>
      </patternFill>
    </fill>
    <fill>
      <patternFill patternType="solid">
        <fgColor rgb="FF30212C"/>
      </patternFill>
    </fill>
    <fill>
      <patternFill patternType="solid">
        <fgColor rgb="FFA12F3B"/>
      </patternFill>
    </fill>
    <fill>
      <patternFill patternType="solid">
        <fgColor rgb="FF9B2E3A"/>
      </patternFill>
    </fill>
    <fill>
      <patternFill patternType="solid">
        <fgColor rgb="FFA32F3B"/>
      </patternFill>
    </fill>
    <fill>
      <patternFill patternType="solid">
        <fgColor rgb="FFAC303C"/>
      </patternFill>
    </fill>
    <fill>
      <patternFill patternType="solid">
        <fgColor rgb="FFC83340"/>
      </patternFill>
    </fill>
    <fill>
      <patternFill patternType="solid">
        <fgColor rgb="FF26202A"/>
      </patternFill>
    </fill>
    <fill>
      <patternFill patternType="solid">
        <fgColor rgb="FFA62F3B"/>
      </patternFill>
    </fill>
    <fill>
      <patternFill patternType="solid">
        <fgColor rgb="FF9C2E3A"/>
      </patternFill>
    </fill>
    <fill>
      <patternFill patternType="solid">
        <fgColor rgb="FFAF303D"/>
      </patternFill>
    </fill>
    <fill>
      <patternFill patternType="solid">
        <fgColor rgb="FF9E2E3A"/>
      </patternFill>
    </fill>
    <fill>
      <patternFill patternType="solid">
        <fgColor rgb="FFA42F3B"/>
      </patternFill>
    </fill>
    <fill>
      <patternFill patternType="solid">
        <fgColor rgb="FFC93440"/>
      </patternFill>
    </fill>
    <fill>
      <patternFill patternType="solid">
        <fgColor rgb="FF23202A"/>
      </patternFill>
    </fill>
    <fill>
      <patternFill patternType="solid">
        <fgColor rgb="FF852B37"/>
      </patternFill>
    </fill>
    <fill>
      <patternFill patternType="solid">
        <fgColor rgb="FF992E3A"/>
      </patternFill>
    </fill>
    <fill>
      <patternFill patternType="solid">
        <fgColor rgb="FF952D39"/>
      </patternFill>
    </fill>
    <fill>
      <patternFill patternType="solid">
        <fgColor rgb="FF9D2E3A"/>
      </patternFill>
    </fill>
    <fill>
      <patternFill patternType="solid">
        <fgColor rgb="FFAD303C"/>
      </patternFill>
    </fill>
    <fill>
      <patternFill patternType="solid">
        <fgColor rgb="FFB6313E"/>
      </patternFill>
    </fill>
    <fill>
      <patternFill patternType="solid">
        <fgColor rgb="FF9A2E3A"/>
      </patternFill>
    </fill>
    <fill>
      <patternFill patternType="solid">
        <fgColor rgb="FFC63340"/>
      </patternFill>
    </fill>
    <fill>
      <patternFill patternType="solid">
        <fgColor rgb="FFB3313D"/>
      </patternFill>
    </fill>
    <fill>
      <patternFill patternType="solid">
        <fgColor rgb="FFBC323F"/>
      </patternFill>
    </fill>
    <fill>
      <patternFill patternType="solid">
        <fgColor rgb="FFDD3643"/>
      </patternFill>
    </fill>
    <fill>
      <patternFill patternType="solid">
        <fgColor rgb="FF982E3A"/>
      </patternFill>
    </fill>
    <fill>
      <patternFill patternType="solid">
        <fgColor rgb="FFC73340"/>
      </patternFill>
    </fill>
  </fills>
  <borders count="9">
    <border>
      <left/>
      <right/>
      <top/>
      <bottom/>
      <diagonal/>
    </border>
    <border>
      <left/>
      <right/>
      <top style="medium">
        <color rgb="FFE23744"/>
      </top>
      <bottom/>
      <diagonal/>
    </border>
    <border>
      <left/>
      <right/>
      <top style="medium">
        <color rgb="FFF59E0B"/>
      </top>
      <bottom/>
      <diagonal/>
    </border>
    <border>
      <left/>
      <right/>
      <top style="medium">
        <color rgb="FF22D3EE"/>
      </top>
      <bottom/>
      <diagonal/>
    </border>
    <border>
      <left/>
      <right/>
      <top style="medium">
        <color rgb="FF10B981"/>
      </top>
      <bottom/>
      <diagonal/>
    </border>
    <border>
      <left/>
      <right/>
      <top style="medium">
        <color rgb="FF8B5CF6"/>
      </top>
      <bottom/>
      <diagonal/>
    </border>
    <border>
      <left/>
      <right/>
      <top style="medium">
        <color rgb="FF3B82F6"/>
      </top>
      <bottom/>
      <diagonal/>
    </border>
    <border>
      <left style="thin">
        <color rgb="FF2E3550"/>
      </left>
      <right style="thin">
        <color rgb="FF2E3550"/>
      </right>
      <top style="thin">
        <color rgb="FF2E3550"/>
      </top>
      <bottom style="thin">
        <color rgb="FF2E3550"/>
      </bottom>
      <diagonal/>
    </border>
    <border>
      <left style="thin">
        <color rgb="FF0D0F14"/>
      </left>
      <right style="thin">
        <color rgb="FF0D0F14"/>
      </right>
      <top style="thin">
        <color rgb="FF0D0F14"/>
      </top>
      <bottom style="thin">
        <color rgb="FF0D0F1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2" borderId="0" xfId="0" applyFill="1"/>
    <xf numFmtId="0" fontId="12" fillId="18" borderId="7" xfId="0" applyFont="1" applyFill="1" applyBorder="1" applyAlignment="1">
      <alignment horizontal="center" vertical="center"/>
    </xf>
    <xf numFmtId="49" fontId="18" fillId="8" borderId="7" xfId="0" applyNumberFormat="1" applyFont="1" applyFill="1" applyBorder="1" applyAlignment="1">
      <alignment horizontal="center" vertical="center"/>
    </xf>
    <xf numFmtId="49" fontId="14" fillId="8" borderId="7" xfId="0" applyNumberFormat="1" applyFont="1" applyFill="1" applyBorder="1" applyAlignment="1">
      <alignment horizontal="center" vertical="center"/>
    </xf>
    <xf numFmtId="49" fontId="15" fillId="8" borderId="7" xfId="0" applyNumberFormat="1" applyFont="1" applyFill="1" applyBorder="1" applyAlignment="1">
      <alignment horizontal="center" vertical="center"/>
    </xf>
    <xf numFmtId="49" fontId="17" fillId="8" borderId="7" xfId="0" applyNumberFormat="1" applyFont="1" applyFill="1" applyBorder="1" applyAlignment="1">
      <alignment horizontal="center" vertical="center"/>
    </xf>
    <xf numFmtId="49" fontId="18" fillId="2" borderId="7" xfId="0" applyNumberFormat="1" applyFont="1" applyFill="1" applyBorder="1" applyAlignment="1">
      <alignment horizontal="center" vertical="center"/>
    </xf>
    <xf numFmtId="49" fontId="14" fillId="2" borderId="7" xfId="0" applyNumberFormat="1" applyFont="1" applyFill="1" applyBorder="1" applyAlignment="1">
      <alignment horizontal="center" vertical="center"/>
    </xf>
    <xf numFmtId="49" fontId="15" fillId="2" borderId="7" xfId="0" applyNumberFormat="1" applyFont="1" applyFill="1" applyBorder="1" applyAlignment="1">
      <alignment horizontal="center" vertical="center"/>
    </xf>
    <xf numFmtId="49" fontId="17" fillId="2" borderId="7" xfId="0" applyNumberFormat="1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center" vertical="center"/>
    </xf>
    <xf numFmtId="49" fontId="13" fillId="2" borderId="7" xfId="0" applyNumberFormat="1" applyFont="1" applyFill="1" applyBorder="1" applyAlignment="1">
      <alignment horizontal="center" vertical="center"/>
    </xf>
    <xf numFmtId="3" fontId="14" fillId="2" borderId="7" xfId="0" applyNumberFormat="1" applyFont="1" applyFill="1" applyBorder="1" applyAlignment="1">
      <alignment horizontal="center" vertical="center"/>
    </xf>
    <xf numFmtId="3" fontId="15" fillId="2" borderId="7" xfId="0" applyNumberFormat="1" applyFont="1" applyFill="1" applyBorder="1" applyAlignment="1">
      <alignment horizontal="center" vertical="center"/>
    </xf>
    <xf numFmtId="4" fontId="16" fillId="2" borderId="7" xfId="0" applyNumberFormat="1" applyFont="1" applyFill="1" applyBorder="1" applyAlignment="1">
      <alignment horizontal="center" vertical="center"/>
    </xf>
    <xf numFmtId="164" fontId="15" fillId="2" borderId="7" xfId="0" applyNumberFormat="1" applyFont="1" applyFill="1" applyBorder="1" applyAlignment="1">
      <alignment horizontal="center" vertical="center"/>
    </xf>
    <xf numFmtId="1" fontId="15" fillId="2" borderId="7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3" fontId="18" fillId="8" borderId="7" xfId="0" applyNumberFormat="1" applyFont="1" applyFill="1" applyBorder="1" applyAlignment="1">
      <alignment horizontal="center" vertical="center"/>
    </xf>
    <xf numFmtId="3" fontId="15" fillId="8" borderId="7" xfId="0" applyNumberFormat="1" applyFont="1" applyFill="1" applyBorder="1" applyAlignment="1">
      <alignment horizontal="center" vertical="center"/>
    </xf>
    <xf numFmtId="4" fontId="16" fillId="8" borderId="7" xfId="0" applyNumberFormat="1" applyFont="1" applyFill="1" applyBorder="1" applyAlignment="1">
      <alignment horizontal="center" vertical="center"/>
    </xf>
    <xf numFmtId="164" fontId="15" fillId="8" borderId="7" xfId="0" applyNumberFormat="1" applyFont="1" applyFill="1" applyBorder="1" applyAlignment="1">
      <alignment horizontal="center" vertical="center"/>
    </xf>
    <xf numFmtId="1" fontId="15" fillId="8" borderId="7" xfId="0" applyNumberFormat="1" applyFont="1" applyFill="1" applyBorder="1" applyAlignment="1">
      <alignment horizontal="center" vertical="center"/>
    </xf>
    <xf numFmtId="3" fontId="18" fillId="2" borderId="7" xfId="0" applyNumberFormat="1" applyFont="1" applyFill="1" applyBorder="1" applyAlignment="1">
      <alignment horizontal="center" vertical="center"/>
    </xf>
    <xf numFmtId="3" fontId="19" fillId="7" borderId="7" xfId="0" applyNumberFormat="1" applyFont="1" applyFill="1" applyBorder="1" applyAlignment="1">
      <alignment horizontal="center" vertical="center"/>
    </xf>
    <xf numFmtId="3" fontId="20" fillId="7" borderId="7" xfId="0" applyNumberFormat="1" applyFont="1" applyFill="1" applyBorder="1" applyAlignment="1">
      <alignment horizontal="center" vertical="center"/>
    </xf>
    <xf numFmtId="4" fontId="21" fillId="7" borderId="7" xfId="0" applyNumberFormat="1" applyFont="1" applyFill="1" applyBorder="1" applyAlignment="1">
      <alignment horizontal="center" vertical="center"/>
    </xf>
    <xf numFmtId="164" fontId="13" fillId="7" borderId="7" xfId="0" applyNumberFormat="1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left" vertical="center"/>
    </xf>
    <xf numFmtId="0" fontId="12" fillId="10" borderId="7" xfId="0" applyFont="1" applyFill="1" applyBorder="1" applyAlignment="1">
      <alignment horizontal="center" vertical="center"/>
    </xf>
    <xf numFmtId="3" fontId="17" fillId="2" borderId="7" xfId="0" applyNumberFormat="1" applyFont="1" applyFill="1" applyBorder="1" applyAlignment="1">
      <alignment horizontal="center" vertical="center"/>
    </xf>
    <xf numFmtId="3" fontId="16" fillId="2" borderId="7" xfId="0" applyNumberFormat="1" applyFont="1" applyFill="1" applyBorder="1" applyAlignment="1">
      <alignment horizontal="center" vertical="center"/>
    </xf>
    <xf numFmtId="3" fontId="16" fillId="8" borderId="7" xfId="0" applyNumberFormat="1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left" vertical="center"/>
    </xf>
    <xf numFmtId="0" fontId="12" fillId="12" borderId="7" xfId="0" applyFont="1" applyFill="1" applyBorder="1" applyAlignment="1">
      <alignment horizontal="center" vertical="center"/>
    </xf>
    <xf numFmtId="3" fontId="24" fillId="8" borderId="7" xfId="0" applyNumberFormat="1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 vertical="center"/>
    </xf>
    <xf numFmtId="49" fontId="25" fillId="2" borderId="7" xfId="0" applyNumberFormat="1" applyFont="1" applyFill="1" applyBorder="1" applyAlignment="1">
      <alignment horizontal="center" vertical="center"/>
    </xf>
    <xf numFmtId="3" fontId="26" fillId="2" borderId="7" xfId="0" applyNumberFormat="1" applyFont="1" applyFill="1" applyBorder="1" applyAlignment="1">
      <alignment horizontal="center" vertical="center"/>
    </xf>
    <xf numFmtId="49" fontId="27" fillId="8" borderId="7" xfId="0" applyNumberFormat="1" applyFont="1" applyFill="1" applyBorder="1" applyAlignment="1">
      <alignment horizontal="center" vertical="center"/>
    </xf>
    <xf numFmtId="3" fontId="28" fillId="8" borderId="7" xfId="0" applyNumberFormat="1" applyFont="1" applyFill="1" applyBorder="1" applyAlignment="1">
      <alignment horizontal="center" vertical="center"/>
    </xf>
    <xf numFmtId="0" fontId="12" fillId="15" borderId="7" xfId="0" applyFont="1" applyFill="1" applyBorder="1" applyAlignment="1">
      <alignment horizontal="center" vertical="center"/>
    </xf>
    <xf numFmtId="49" fontId="20" fillId="2" borderId="7" xfId="0" applyNumberFormat="1" applyFont="1" applyFill="1" applyBorder="1" applyAlignment="1">
      <alignment horizontal="center" vertical="center"/>
    </xf>
    <xf numFmtId="49" fontId="21" fillId="8" borderId="7" xfId="0" applyNumberFormat="1" applyFont="1" applyFill="1" applyBorder="1" applyAlignment="1">
      <alignment horizontal="center" vertical="center"/>
    </xf>
    <xf numFmtId="49" fontId="29" fillId="2" borderId="7" xfId="0" applyNumberFormat="1" applyFont="1" applyFill="1" applyBorder="1" applyAlignment="1">
      <alignment horizontal="center" vertical="center"/>
    </xf>
    <xf numFmtId="3" fontId="30" fillId="2" borderId="7" xfId="0" applyNumberFormat="1" applyFont="1" applyFill="1" applyBorder="1" applyAlignment="1">
      <alignment horizontal="center" vertical="center"/>
    </xf>
    <xf numFmtId="49" fontId="31" fillId="8" borderId="7" xfId="0" applyNumberFormat="1" applyFont="1" applyFill="1" applyBorder="1" applyAlignment="1">
      <alignment horizontal="center" vertical="center"/>
    </xf>
    <xf numFmtId="0" fontId="32" fillId="5" borderId="7" xfId="0" applyFont="1" applyFill="1" applyBorder="1" applyAlignment="1">
      <alignment horizontal="left" vertical="center"/>
    </xf>
    <xf numFmtId="0" fontId="12" fillId="17" borderId="7" xfId="0" applyFont="1" applyFill="1" applyBorder="1" applyAlignment="1">
      <alignment horizontal="center" vertical="center"/>
    </xf>
    <xf numFmtId="49" fontId="30" fillId="2" borderId="7" xfId="0" applyNumberFormat="1" applyFont="1" applyFill="1" applyBorder="1" applyAlignment="1">
      <alignment horizontal="center" vertical="center"/>
    </xf>
    <xf numFmtId="49" fontId="30" fillId="8" borderId="7" xfId="0" applyNumberFormat="1" applyFont="1" applyFill="1" applyBorder="1" applyAlignment="1">
      <alignment horizontal="center" vertical="center"/>
    </xf>
    <xf numFmtId="49" fontId="33" fillId="8" borderId="7" xfId="0" applyNumberFormat="1" applyFont="1" applyFill="1" applyBorder="1" applyAlignment="1">
      <alignment horizontal="center" vertical="center"/>
    </xf>
    <xf numFmtId="49" fontId="34" fillId="8" borderId="7" xfId="0" applyNumberFormat="1" applyFont="1" applyFill="1" applyBorder="1" applyAlignment="1">
      <alignment horizontal="center" vertical="center"/>
    </xf>
    <xf numFmtId="49" fontId="33" fillId="2" borderId="7" xfId="0" applyNumberFormat="1" applyFont="1" applyFill="1" applyBorder="1" applyAlignment="1">
      <alignment horizontal="center" vertical="center"/>
    </xf>
    <xf numFmtId="49" fontId="34" fillId="2" borderId="7" xfId="0" applyNumberFormat="1" applyFont="1" applyFill="1" applyBorder="1" applyAlignment="1">
      <alignment horizontal="center" vertical="center"/>
    </xf>
    <xf numFmtId="3" fontId="34" fillId="8" borderId="7" xfId="0" applyNumberFormat="1" applyFont="1" applyFill="1" applyBorder="1" applyAlignment="1">
      <alignment horizontal="center" vertical="center"/>
    </xf>
    <xf numFmtId="0" fontId="29" fillId="5" borderId="7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center" vertical="center"/>
    </xf>
    <xf numFmtId="3" fontId="17" fillId="8" borderId="7" xfId="0" applyNumberFormat="1" applyFont="1" applyFill="1" applyBorder="1" applyAlignment="1">
      <alignment horizontal="center" vertical="center"/>
    </xf>
    <xf numFmtId="3" fontId="34" fillId="2" borderId="7" xfId="0" applyNumberFormat="1" applyFont="1" applyFill="1" applyBorder="1" applyAlignment="1">
      <alignment horizontal="center" vertical="center"/>
    </xf>
    <xf numFmtId="0" fontId="27" fillId="5" borderId="7" xfId="0" applyFont="1" applyFill="1" applyBorder="1" applyAlignment="1">
      <alignment horizontal="left" vertical="center"/>
    </xf>
    <xf numFmtId="0" fontId="31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2" fontId="12" fillId="21" borderId="8" xfId="0" applyNumberFormat="1" applyFont="1" applyFill="1" applyBorder="1" applyAlignment="1">
      <alignment horizontal="center" vertical="center"/>
    </xf>
    <xf numFmtId="2" fontId="12" fillId="22" borderId="8" xfId="0" applyNumberFormat="1" applyFont="1" applyFill="1" applyBorder="1" applyAlignment="1">
      <alignment horizontal="center" vertical="center"/>
    </xf>
    <xf numFmtId="2" fontId="12" fillId="23" borderId="8" xfId="0" applyNumberFormat="1" applyFont="1" applyFill="1" applyBorder="1" applyAlignment="1">
      <alignment horizontal="center" vertical="center"/>
    </xf>
    <xf numFmtId="2" fontId="12" fillId="24" borderId="8" xfId="0" applyNumberFormat="1" applyFont="1" applyFill="1" applyBorder="1" applyAlignment="1">
      <alignment horizontal="center" vertical="center"/>
    </xf>
    <xf numFmtId="2" fontId="37" fillId="2" borderId="8" xfId="0" applyNumberFormat="1" applyFont="1" applyFill="1" applyBorder="1" applyAlignment="1">
      <alignment horizontal="center" vertical="center"/>
    </xf>
    <xf numFmtId="2" fontId="12" fillId="25" borderId="8" xfId="0" applyNumberFormat="1" applyFont="1" applyFill="1" applyBorder="1" applyAlignment="1">
      <alignment horizontal="center" vertical="center"/>
    </xf>
    <xf numFmtId="2" fontId="12" fillId="26" borderId="8" xfId="0" applyNumberFormat="1" applyFont="1" applyFill="1" applyBorder="1" applyAlignment="1">
      <alignment horizontal="center" vertical="center"/>
    </xf>
    <xf numFmtId="2" fontId="12" fillId="27" borderId="8" xfId="0" applyNumberFormat="1" applyFont="1" applyFill="1" applyBorder="1" applyAlignment="1">
      <alignment horizontal="center" vertical="center"/>
    </xf>
    <xf numFmtId="2" fontId="12" fillId="28" borderId="8" xfId="0" applyNumberFormat="1" applyFont="1" applyFill="1" applyBorder="1" applyAlignment="1">
      <alignment horizontal="center" vertical="center"/>
    </xf>
    <xf numFmtId="2" fontId="12" fillId="29" borderId="8" xfId="0" applyNumberFormat="1" applyFont="1" applyFill="1" applyBorder="1" applyAlignment="1">
      <alignment horizontal="center" vertical="center"/>
    </xf>
    <xf numFmtId="2" fontId="38" fillId="30" borderId="8" xfId="0" applyNumberFormat="1" applyFont="1" applyFill="1" applyBorder="1" applyAlignment="1">
      <alignment horizontal="center" vertical="center"/>
    </xf>
    <xf numFmtId="2" fontId="12" fillId="31" borderId="8" xfId="0" applyNumberFormat="1" applyFont="1" applyFill="1" applyBorder="1" applyAlignment="1">
      <alignment horizontal="center" vertical="center"/>
    </xf>
    <xf numFmtId="2" fontId="12" fillId="3" borderId="8" xfId="0" applyNumberFormat="1" applyFont="1" applyFill="1" applyBorder="1" applyAlignment="1">
      <alignment horizontal="center" vertical="center"/>
    </xf>
    <xf numFmtId="2" fontId="37" fillId="32" borderId="8" xfId="0" applyNumberFormat="1" applyFont="1" applyFill="1" applyBorder="1" applyAlignment="1">
      <alignment horizontal="center" vertical="center"/>
    </xf>
    <xf numFmtId="2" fontId="38" fillId="33" borderId="8" xfId="0" applyNumberFormat="1" applyFont="1" applyFill="1" applyBorder="1" applyAlignment="1">
      <alignment horizontal="center" vertical="center"/>
    </xf>
    <xf numFmtId="2" fontId="12" fillId="34" borderId="8" xfId="0" applyNumberFormat="1" applyFont="1" applyFill="1" applyBorder="1" applyAlignment="1">
      <alignment horizontal="center" vertical="center"/>
    </xf>
    <xf numFmtId="2" fontId="12" fillId="35" borderId="8" xfId="0" applyNumberFormat="1" applyFont="1" applyFill="1" applyBorder="1" applyAlignment="1">
      <alignment horizontal="center" vertical="center"/>
    </xf>
    <xf numFmtId="2" fontId="12" fillId="36" borderId="8" xfId="0" applyNumberFormat="1" applyFont="1" applyFill="1" applyBorder="1" applyAlignment="1">
      <alignment horizontal="center" vertical="center"/>
    </xf>
    <xf numFmtId="2" fontId="12" fillId="37" borderId="8" xfId="0" applyNumberFormat="1" applyFont="1" applyFill="1" applyBorder="1" applyAlignment="1">
      <alignment horizontal="center" vertical="center"/>
    </xf>
    <xf numFmtId="2" fontId="38" fillId="38" borderId="8" xfId="0" applyNumberFormat="1" applyFont="1" applyFill="1" applyBorder="1" applyAlignment="1">
      <alignment horizontal="center" vertical="center"/>
    </xf>
    <xf numFmtId="2" fontId="12" fillId="39" borderId="8" xfId="0" applyNumberFormat="1" applyFont="1" applyFill="1" applyBorder="1" applyAlignment="1">
      <alignment horizontal="center" vertical="center"/>
    </xf>
    <xf numFmtId="2" fontId="12" fillId="40" borderId="8" xfId="0" applyNumberFormat="1" applyFont="1" applyFill="1" applyBorder="1" applyAlignment="1">
      <alignment horizontal="center" vertical="center"/>
    </xf>
    <xf numFmtId="2" fontId="12" fillId="41" borderId="8" xfId="0" applyNumberFormat="1" applyFont="1" applyFill="1" applyBorder="1" applyAlignment="1">
      <alignment horizontal="center" vertical="center"/>
    </xf>
    <xf numFmtId="2" fontId="37" fillId="42" borderId="8" xfId="0" applyNumberFormat="1" applyFont="1" applyFill="1" applyBorder="1" applyAlignment="1">
      <alignment horizontal="center" vertical="center"/>
    </xf>
    <xf numFmtId="2" fontId="38" fillId="43" borderId="8" xfId="0" applyNumberFormat="1" applyFont="1" applyFill="1" applyBorder="1" applyAlignment="1">
      <alignment horizontal="center" vertical="center"/>
    </xf>
    <xf numFmtId="2" fontId="38" fillId="44" borderId="8" xfId="0" applyNumberFormat="1" applyFont="1" applyFill="1" applyBorder="1" applyAlignment="1">
      <alignment horizontal="center" vertical="center"/>
    </xf>
    <xf numFmtId="2" fontId="38" fillId="45" borderId="8" xfId="0" applyNumberFormat="1" applyFont="1" applyFill="1" applyBorder="1" applyAlignment="1">
      <alignment horizontal="center" vertical="center"/>
    </xf>
    <xf numFmtId="2" fontId="12" fillId="46" borderId="8" xfId="0" applyNumberFormat="1" applyFont="1" applyFill="1" applyBorder="1" applyAlignment="1">
      <alignment horizontal="center" vertical="center"/>
    </xf>
    <xf numFmtId="2" fontId="12" fillId="47" borderId="8" xfId="0" applyNumberFormat="1" applyFont="1" applyFill="1" applyBorder="1" applyAlignment="1">
      <alignment horizontal="center" vertical="center"/>
    </xf>
    <xf numFmtId="2" fontId="37" fillId="48" borderId="8" xfId="0" applyNumberFormat="1" applyFont="1" applyFill="1" applyBorder="1" applyAlignment="1">
      <alignment horizontal="center" vertical="center"/>
    </xf>
    <xf numFmtId="0" fontId="37" fillId="2" borderId="8" xfId="0" applyFont="1" applyFill="1" applyBorder="1" applyAlignment="1">
      <alignment horizontal="center" vertical="center"/>
    </xf>
    <xf numFmtId="2" fontId="38" fillId="49" borderId="8" xfId="0" applyNumberFormat="1" applyFont="1" applyFill="1" applyBorder="1" applyAlignment="1">
      <alignment horizontal="center" vertical="center"/>
    </xf>
    <xf numFmtId="2" fontId="38" fillId="50" borderId="8" xfId="0" applyNumberFormat="1" applyFont="1" applyFill="1" applyBorder="1" applyAlignment="1">
      <alignment horizontal="center" vertical="center"/>
    </xf>
    <xf numFmtId="2" fontId="12" fillId="51" borderId="8" xfId="0" applyNumberFormat="1" applyFont="1" applyFill="1" applyBorder="1" applyAlignment="1">
      <alignment horizontal="center" vertical="center"/>
    </xf>
    <xf numFmtId="2" fontId="38" fillId="52" borderId="8" xfId="0" applyNumberFormat="1" applyFont="1" applyFill="1" applyBorder="1" applyAlignment="1">
      <alignment horizontal="center" vertical="center"/>
    </xf>
    <xf numFmtId="2" fontId="38" fillId="53" borderId="8" xfId="0" applyNumberFormat="1" applyFont="1" applyFill="1" applyBorder="1" applyAlignment="1">
      <alignment horizontal="center" vertical="center"/>
    </xf>
    <xf numFmtId="2" fontId="12" fillId="54" borderId="8" xfId="0" applyNumberFormat="1" applyFont="1" applyFill="1" applyBorder="1" applyAlignment="1">
      <alignment horizontal="center" vertical="center"/>
    </xf>
    <xf numFmtId="2" fontId="37" fillId="55" borderId="8" xfId="0" applyNumberFormat="1" applyFont="1" applyFill="1" applyBorder="1" applyAlignment="1">
      <alignment horizontal="center" vertical="center"/>
    </xf>
    <xf numFmtId="2" fontId="38" fillId="56" borderId="8" xfId="0" applyNumberFormat="1" applyFont="1" applyFill="1" applyBorder="1" applyAlignment="1">
      <alignment horizontal="center" vertical="center"/>
    </xf>
    <xf numFmtId="2" fontId="38" fillId="57" borderId="8" xfId="0" applyNumberFormat="1" applyFont="1" applyFill="1" applyBorder="1" applyAlignment="1">
      <alignment horizontal="center" vertical="center"/>
    </xf>
    <xf numFmtId="2" fontId="38" fillId="58" borderId="8" xfId="0" applyNumberFormat="1" applyFont="1" applyFill="1" applyBorder="1" applyAlignment="1">
      <alignment horizontal="center" vertical="center"/>
    </xf>
    <xf numFmtId="2" fontId="38" fillId="59" borderId="8" xfId="0" applyNumberFormat="1" applyFont="1" applyFill="1" applyBorder="1" applyAlignment="1">
      <alignment horizontal="center" vertical="center"/>
    </xf>
    <xf numFmtId="2" fontId="12" fillId="60" borderId="8" xfId="0" applyNumberFormat="1" applyFont="1" applyFill="1" applyBorder="1" applyAlignment="1">
      <alignment horizontal="center" vertical="center"/>
    </xf>
    <xf numFmtId="2" fontId="12" fillId="61" borderId="8" xfId="0" applyNumberFormat="1" applyFont="1" applyFill="1" applyBorder="1" applyAlignment="1">
      <alignment horizontal="center" vertical="center"/>
    </xf>
    <xf numFmtId="2" fontId="38" fillId="62" borderId="8" xfId="0" applyNumberFormat="1" applyFont="1" applyFill="1" applyBorder="1" applyAlignment="1">
      <alignment horizontal="center" vertical="center"/>
    </xf>
    <xf numFmtId="2" fontId="12" fillId="63" borderId="8" xfId="0" applyNumberFormat="1" applyFont="1" applyFill="1" applyBorder="1" applyAlignment="1">
      <alignment horizontal="center" vertical="center"/>
    </xf>
    <xf numFmtId="2" fontId="12" fillId="64" borderId="8" xfId="0" applyNumberFormat="1" applyFont="1" applyFill="1" applyBorder="1" applyAlignment="1">
      <alignment horizontal="center" vertical="center"/>
    </xf>
    <xf numFmtId="2" fontId="12" fillId="65" borderId="8" xfId="0" applyNumberFormat="1" applyFont="1" applyFill="1" applyBorder="1" applyAlignment="1">
      <alignment horizontal="center" vertical="center"/>
    </xf>
    <xf numFmtId="2" fontId="12" fillId="66" borderId="8" xfId="0" applyNumberFormat="1" applyFont="1" applyFill="1" applyBorder="1" applyAlignment="1">
      <alignment horizontal="center" vertical="center"/>
    </xf>
    <xf numFmtId="2" fontId="38" fillId="67" borderId="8" xfId="0" applyNumberFormat="1" applyFont="1" applyFill="1" applyBorder="1" applyAlignment="1">
      <alignment horizontal="center" vertical="center"/>
    </xf>
    <xf numFmtId="2" fontId="38" fillId="40" borderId="8" xfId="0" applyNumberFormat="1" applyFont="1" applyFill="1" applyBorder="1" applyAlignment="1">
      <alignment horizontal="center" vertical="center"/>
    </xf>
    <xf numFmtId="2" fontId="12" fillId="68" borderId="8" xfId="0" applyNumberFormat="1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0" fillId="0" borderId="0" xfId="0"/>
    <xf numFmtId="0" fontId="22" fillId="5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2" fillId="5" borderId="7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22" fillId="5" borderId="7" xfId="0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23" fillId="11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left" vertical="center"/>
    </xf>
    <xf numFmtId="0" fontId="11" fillId="11" borderId="0" xfId="0" applyFont="1" applyFill="1" applyAlignment="1">
      <alignment horizontal="left" vertical="center"/>
    </xf>
    <xf numFmtId="0" fontId="10" fillId="16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left" vertical="center"/>
    </xf>
    <xf numFmtId="0" fontId="23" fillId="19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5" fillId="5" borderId="7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left" vertical="center"/>
    </xf>
    <xf numFmtId="0" fontId="39" fillId="5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E9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Revenue (₹)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'📅 Monthly Analysis'!$B$4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E23744"/>
            </a:solidFill>
            <a:ln>
              <a:solidFill>
                <a:srgbClr val="E23744"/>
              </a:solidFill>
              <a:prstDash val="solid"/>
            </a:ln>
          </c:spPr>
          <c:invertIfNegative val="1"/>
          <c:cat>
            <c:strRef>
              <c:f>'📅 Monthly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'📅 Monthly Analysis'!$B$5:$B$16</c:f>
              <c:numCache>
                <c:formatCode>#,##0</c:formatCode>
                <c:ptCount val="12"/>
                <c:pt idx="0">
                  <c:v>99713214</c:v>
                </c:pt>
                <c:pt idx="1">
                  <c:v>89374095</c:v>
                </c:pt>
                <c:pt idx="2">
                  <c:v>92779487</c:v>
                </c:pt>
                <c:pt idx="3">
                  <c:v>88838211</c:v>
                </c:pt>
                <c:pt idx="4">
                  <c:v>83613173</c:v>
                </c:pt>
                <c:pt idx="5">
                  <c:v>75055812</c:v>
                </c:pt>
                <c:pt idx="6">
                  <c:v>71420820</c:v>
                </c:pt>
                <c:pt idx="7">
                  <c:v>71671699</c:v>
                </c:pt>
                <c:pt idx="8">
                  <c:v>55164102</c:v>
                </c:pt>
                <c:pt idx="9">
                  <c:v>80805648</c:v>
                </c:pt>
                <c:pt idx="10">
                  <c:v>93308613</c:v>
                </c:pt>
                <c:pt idx="11">
                  <c:v>84820144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237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E2A-4C51-A15B-0EC128591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Avg Order Value by Month (₹)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'📅 Monthly Analysis'!$D$4</c:f>
              <c:strCache>
                <c:ptCount val="1"/>
                <c:pt idx="0">
                  <c:v>Avg Order Value</c:v>
                </c:pt>
              </c:strCache>
            </c:strRef>
          </c:tx>
          <c:spPr>
            <a:ln w="25000">
              <a:solidFill>
                <a:srgbClr val="F59E0B"/>
              </a:solidFill>
              <a:prstDash val="solid"/>
            </a:ln>
          </c:spPr>
          <c:marker>
            <c:symbol val="none"/>
          </c:marker>
          <c:cat>
            <c:strRef>
              <c:f>'📅 Monthly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'📅 Monthly Analysis'!$D$5:$D$16</c:f>
              <c:numCache>
                <c:formatCode>#,##0.00</c:formatCode>
                <c:ptCount val="12"/>
                <c:pt idx="0">
                  <c:v>7205.23</c:v>
                </c:pt>
                <c:pt idx="1">
                  <c:v>6622.76</c:v>
                </c:pt>
                <c:pt idx="2">
                  <c:v>6961.25</c:v>
                </c:pt>
                <c:pt idx="3">
                  <c:v>6787.76</c:v>
                </c:pt>
                <c:pt idx="4">
                  <c:v>6198.16</c:v>
                </c:pt>
                <c:pt idx="5">
                  <c:v>5976.73</c:v>
                </c:pt>
                <c:pt idx="6">
                  <c:v>6951.61</c:v>
                </c:pt>
                <c:pt idx="7">
                  <c:v>7642.54</c:v>
                </c:pt>
                <c:pt idx="8">
                  <c:v>6214.97</c:v>
                </c:pt>
                <c:pt idx="9">
                  <c:v>5933.3</c:v>
                </c:pt>
                <c:pt idx="10">
                  <c:v>6576.59</c:v>
                </c:pt>
                <c:pt idx="11">
                  <c:v>6765.59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BF-480F-8FEC-1A7A79A95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AOV (₹)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Cities — Revenue (₹)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'🌆 City Analysis'!$B$4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22D3EE"/>
            </a:solidFill>
            <a:ln>
              <a:solidFill>
                <a:srgbClr val="22D3EE"/>
              </a:solidFill>
              <a:prstDash val="solid"/>
            </a:ln>
          </c:spPr>
          <c:invertIfNegative val="1"/>
          <c:cat>
            <c:strRef>
              <c:f>'🌆 City Analysis'!$A$5:$A$14</c:f>
              <c:strCache>
                <c:ptCount val="10"/>
                <c:pt idx="0">
                  <c:v>Tirupati</c:v>
                </c:pt>
                <c:pt idx="1">
                  <c:v>Electronic City,Blr</c:v>
                </c:pt>
                <c:pt idx="2">
                  <c:v>Baner,Pune</c:v>
                </c:pt>
                <c:pt idx="3">
                  <c:v>Raipur</c:v>
                </c:pt>
                <c:pt idx="4">
                  <c:v>Malviya Nagar,Delhi</c:v>
                </c:pt>
                <c:pt idx="5">
                  <c:v>Sultanpur</c:v>
                </c:pt>
                <c:pt idx="6">
                  <c:v>Vastrapur,Ahm</c:v>
                </c:pt>
                <c:pt idx="7">
                  <c:v>Indirapuram,Delhi</c:v>
                </c:pt>
                <c:pt idx="8">
                  <c:v>Navrangpura,Ahm</c:v>
                </c:pt>
                <c:pt idx="9">
                  <c:v>Rohini,Delhi</c:v>
                </c:pt>
              </c:strCache>
            </c:strRef>
          </c:cat>
          <c:val>
            <c:numRef>
              <c:f>'🌆 City Analysis'!$B$5:$B$14</c:f>
              <c:numCache>
                <c:formatCode>#,##0</c:formatCode>
                <c:ptCount val="10"/>
                <c:pt idx="0">
                  <c:v>42503460</c:v>
                </c:pt>
                <c:pt idx="1">
                  <c:v>28599623</c:v>
                </c:pt>
                <c:pt idx="2">
                  <c:v>26784833</c:v>
                </c:pt>
                <c:pt idx="3">
                  <c:v>22756624</c:v>
                </c:pt>
                <c:pt idx="4">
                  <c:v>16508442</c:v>
                </c:pt>
                <c:pt idx="5">
                  <c:v>15056504</c:v>
                </c:pt>
                <c:pt idx="6">
                  <c:v>13091765</c:v>
                </c:pt>
                <c:pt idx="7">
                  <c:v>13027458</c:v>
                </c:pt>
                <c:pt idx="8">
                  <c:v>12396403</c:v>
                </c:pt>
                <c:pt idx="9">
                  <c:v>12189017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2D3E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DD-4A80-87B4-8FF3777F3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City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Age Group (₹)</a:t>
            </a:r>
          </a:p>
        </c:rich>
      </c:tx>
      <c:layout>
        <c:manualLayout>
          <c:xMode val="edge"/>
          <c:yMode val="edge"/>
          <c:x val="0.3838773148148148"/>
          <c:y val="7.326923076923076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0354938271604934E-2"/>
          <c:y val="3.2564102564102561E-2"/>
          <c:w val="0.86232947530864201"/>
          <c:h val="0.940299145299145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'👥 Customer Demographics'!$B$4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8B5CF6"/>
            </a:solidFill>
            <a:ln>
              <a:prstDash val="solid"/>
            </a:ln>
          </c:spPr>
          <c:invertIfNegative val="1"/>
          <c:cat>
            <c:strRef>
              <c:f>'👥 Customer Demographics'!$A$5:$A$8</c:f>
              <c:strCache>
                <c:ptCount val="4"/>
                <c:pt idx="0">
                  <c:v>18–22</c:v>
                </c:pt>
                <c:pt idx="1">
                  <c:v>23–27</c:v>
                </c:pt>
                <c:pt idx="2">
                  <c:v>28–32</c:v>
                </c:pt>
                <c:pt idx="3">
                  <c:v>33–37</c:v>
                </c:pt>
              </c:strCache>
            </c:strRef>
          </c:cat>
          <c:val>
            <c:numRef>
              <c:f>'👥 Customer Demographics'!$B$5:$B$8</c:f>
              <c:numCache>
                <c:formatCode>#,##0</c:formatCode>
                <c:ptCount val="4"/>
                <c:pt idx="0">
                  <c:v>242340302</c:v>
                </c:pt>
                <c:pt idx="1">
                  <c:v>590539299</c:v>
                </c:pt>
                <c:pt idx="2">
                  <c:v>151033539</c:v>
                </c:pt>
                <c:pt idx="3">
                  <c:v>2651878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675-45C0-988C-74FDEB34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016898148148147"/>
          <c:y val="0.3367294871794872"/>
          <c:w val="8.2793981481481482E-2"/>
          <c:h val="0.19628461538461539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Occupation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'👥 Customer Demographics'!$B$18</c:f>
              <c:strCache>
                <c:ptCount val="1"/>
                <c:pt idx="0">
                  <c:v>Revenue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'👥 Customer Demographics'!$A$19:$A$21</c:f>
              <c:strCache>
                <c:ptCount val="3"/>
                <c:pt idx="0">
                  <c:v>Student</c:v>
                </c:pt>
                <c:pt idx="1">
                  <c:v>Employee</c:v>
                </c:pt>
                <c:pt idx="2">
                  <c:v>Self Employed</c:v>
                </c:pt>
              </c:strCache>
            </c:strRef>
          </c:cat>
          <c:val>
            <c:numRef>
              <c:f>'👥 Customer Demographics'!$B$19:$B$21</c:f>
              <c:numCache>
                <c:formatCode>#,##0</c:formatCode>
                <c:ptCount val="3"/>
                <c:pt idx="0">
                  <c:v>527755741</c:v>
                </c:pt>
                <c:pt idx="1">
                  <c:v>299878490</c:v>
                </c:pt>
                <c:pt idx="2">
                  <c:v>136377723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A-46F2-8921-C9A52F3F5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Day of Week (₹)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'📅 Weekday Analysis'!$B$4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10B981"/>
            </a:solidFill>
            <a:ln>
              <a:solidFill>
                <a:srgbClr val="10B981"/>
              </a:solidFill>
              <a:prstDash val="solid"/>
            </a:ln>
          </c:spPr>
          <c:invertIfNegative val="1"/>
          <c:cat>
            <c:strRef>
              <c:f>'📅 Weekday Analysis'!$A$5:$A$11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'📅 Weekday Analysis'!$B$5:$B$11</c:f>
              <c:numCache>
                <c:formatCode>#,##0</c:formatCode>
                <c:ptCount val="7"/>
                <c:pt idx="0">
                  <c:v>166225917</c:v>
                </c:pt>
                <c:pt idx="1">
                  <c:v>177843390</c:v>
                </c:pt>
                <c:pt idx="2">
                  <c:v>187995290</c:v>
                </c:pt>
                <c:pt idx="3">
                  <c:v>188636824</c:v>
                </c:pt>
                <c:pt idx="4">
                  <c:v>264163551</c:v>
                </c:pt>
                <c:pt idx="5">
                  <c:v>1378694</c:v>
                </c:pt>
                <c:pt idx="6">
                  <c:v>321352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0B98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77-4885-A4B6-F5CD7877F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12 Cuisines — Revenue (₹)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'🍛 Cuisine &amp; Restaurants'!$B$4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F59E0B"/>
            </a:solidFill>
            <a:ln>
              <a:prstDash val="solid"/>
            </a:ln>
          </c:spPr>
          <c:invertIfNegative val="1"/>
          <c:cat>
            <c:strRef>
              <c:f>'🍛 Cuisine &amp; Restaurants'!$A$5:$A$16</c:f>
              <c:strCache>
                <c:ptCount val="12"/>
                <c:pt idx="0">
                  <c:v>North Indian</c:v>
                </c:pt>
                <c:pt idx="1">
                  <c:v>Chinese</c:v>
                </c:pt>
                <c:pt idx="2">
                  <c:v>Indian</c:v>
                </c:pt>
                <c:pt idx="3">
                  <c:v>Desserts</c:v>
                </c:pt>
                <c:pt idx="4">
                  <c:v>South Indian</c:v>
                </c:pt>
                <c:pt idx="5">
                  <c:v>Beverages</c:v>
                </c:pt>
                <c:pt idx="6">
                  <c:v>Pizzas</c:v>
                </c:pt>
                <c:pt idx="7">
                  <c:v>Biryani</c:v>
                </c:pt>
                <c:pt idx="8">
                  <c:v>Bakery</c:v>
                </c:pt>
                <c:pt idx="9">
                  <c:v>Fast Food</c:v>
                </c:pt>
                <c:pt idx="10">
                  <c:v>Ice Cream</c:v>
                </c:pt>
                <c:pt idx="11">
                  <c:v>American</c:v>
                </c:pt>
              </c:strCache>
            </c:strRef>
          </c:cat>
          <c:val>
            <c:numRef>
              <c:f>'🍛 Cuisine &amp; Restaurants'!$B$5:$B$16</c:f>
              <c:numCache>
                <c:formatCode>#,##0</c:formatCode>
                <c:ptCount val="12"/>
                <c:pt idx="0">
                  <c:v>36655842</c:v>
                </c:pt>
                <c:pt idx="1">
                  <c:v>17121041</c:v>
                </c:pt>
                <c:pt idx="2">
                  <c:v>11629239</c:v>
                </c:pt>
                <c:pt idx="3">
                  <c:v>10542284</c:v>
                </c:pt>
                <c:pt idx="4">
                  <c:v>9547556</c:v>
                </c:pt>
                <c:pt idx="5">
                  <c:v>7130551</c:v>
                </c:pt>
                <c:pt idx="6">
                  <c:v>7127722</c:v>
                </c:pt>
                <c:pt idx="7">
                  <c:v>7125248</c:v>
                </c:pt>
                <c:pt idx="8">
                  <c:v>6292139</c:v>
                </c:pt>
                <c:pt idx="9">
                  <c:v>6066289</c:v>
                </c:pt>
                <c:pt idx="10">
                  <c:v>5688654</c:v>
                </c:pt>
                <c:pt idx="11">
                  <c:v>4733546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F33-49F5-9ACB-737C761FF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Annual Revenue (₹)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'📈 Year-over-Year'!$B$4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3B82F6"/>
            </a:solidFill>
            <a:ln>
              <a:prstDash val="solid"/>
            </a:ln>
          </c:spPr>
          <c:invertIfNegative val="1"/>
          <c:cat>
            <c:strRef>
              <c:f>'📈 Year-over-Year'!$A$5:$A$8</c:f>
              <c:strCache>
                <c:ptCount val="4"/>
                <c:pt idx="0">
                  <c:v>2017 (Q4 only)</c:v>
                </c:pt>
                <c:pt idx="1">
                  <c:v>2018</c:v>
                </c:pt>
                <c:pt idx="2">
                  <c:v>2019</c:v>
                </c:pt>
                <c:pt idx="3">
                  <c:v>2020 (H1 only)</c:v>
                </c:pt>
              </c:strCache>
            </c:strRef>
          </c:cat>
          <c:val>
            <c:numRef>
              <c:f>'📈 Year-over-Year'!$B$5:$B$8</c:f>
              <c:numCache>
                <c:formatCode>#,##0</c:formatCode>
                <c:ptCount val="4"/>
                <c:pt idx="0">
                  <c:v>93568402</c:v>
                </c:pt>
                <c:pt idx="1">
                  <c:v>414308943</c:v>
                </c:pt>
                <c:pt idx="2">
                  <c:v>336452114</c:v>
                </c:pt>
                <c:pt idx="3">
                  <c:v>142235559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40-4A80-9C5C-B3506EED8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342900</xdr:colOff>
      <xdr:row>1</xdr:row>
      <xdr:rowOff>53340</xdr:rowOff>
    </xdr:from>
    <xdr:ext cx="6172200" cy="33985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419100</xdr:colOff>
      <xdr:row>20</xdr:row>
      <xdr:rowOff>259080</xdr:rowOff>
    </xdr:from>
    <xdr:ext cx="5786400" cy="23241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289560</xdr:colOff>
      <xdr:row>2</xdr:row>
      <xdr:rowOff>7620</xdr:rowOff>
    </xdr:from>
    <xdr:ext cx="4259580" cy="2590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510540</xdr:colOff>
      <xdr:row>1</xdr:row>
      <xdr:rowOff>175260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502920</xdr:colOff>
      <xdr:row>23</xdr:row>
      <xdr:rowOff>129540</xdr:rowOff>
    </xdr:from>
    <xdr:ext cx="3962400" cy="363474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251460</xdr:colOff>
      <xdr:row>2</xdr:row>
      <xdr:rowOff>38100</xdr:rowOff>
    </xdr:from>
    <xdr:ext cx="4876800" cy="28606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</xdr:colOff>
      <xdr:row>2</xdr:row>
      <xdr:rowOff>83820</xdr:rowOff>
    </xdr:from>
    <xdr:ext cx="5768340" cy="4799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2</xdr:row>
      <xdr:rowOff>7620</xdr:rowOff>
    </xdr:from>
    <xdr:ext cx="4366260" cy="37109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3744"/>
  </sheetPr>
  <dimension ref="A1:AD120"/>
  <sheetViews>
    <sheetView showGridLines="0" workbookViewId="0">
      <pane ySplit="7" topLeftCell="A8" activePane="bottomLeft" state="frozen"/>
      <selection pane="bottomLeft" activeCell="E7" sqref="E7:H7"/>
    </sheetView>
  </sheetViews>
  <sheetFormatPr defaultRowHeight="14.4" x14ac:dyDescent="0.3"/>
  <cols>
    <col min="1" max="4" width="14" customWidth="1"/>
    <col min="5" max="5" width="15.5546875" bestFit="1" customWidth="1"/>
    <col min="6" max="10" width="14" customWidth="1"/>
    <col min="11" max="26" width="5.44140625" customWidth="1"/>
  </cols>
  <sheetData>
    <row r="1" spans="1:30" ht="7.9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36" customHeight="1" x14ac:dyDescent="0.3">
      <c r="A2" s="122" t="s">
        <v>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"/>
      <c r="AB2" s="1"/>
      <c r="AC2" s="1"/>
      <c r="AD2" s="1"/>
    </row>
    <row r="3" spans="1:30" ht="19.95" customHeight="1" x14ac:dyDescent="0.3">
      <c r="A3" s="136" t="s">
        <v>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"/>
      <c r="AB3" s="1"/>
      <c r="AC3" s="1"/>
      <c r="AD3" s="1"/>
    </row>
    <row r="4" spans="1:30" ht="7.9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7.9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43.95" customHeight="1" x14ac:dyDescent="0.3">
      <c r="A6" s="130" t="s">
        <v>2</v>
      </c>
      <c r="B6" s="119"/>
      <c r="C6" s="119"/>
      <c r="D6" s="119"/>
      <c r="E6" s="126" t="s">
        <v>3</v>
      </c>
      <c r="F6" s="119"/>
      <c r="G6" s="119"/>
      <c r="H6" s="119"/>
      <c r="I6" s="128" t="s">
        <v>4</v>
      </c>
      <c r="J6" s="119"/>
      <c r="K6" s="119"/>
      <c r="L6" s="119"/>
      <c r="M6" s="134" t="s">
        <v>5</v>
      </c>
      <c r="N6" s="119"/>
      <c r="O6" s="119"/>
      <c r="P6" s="119"/>
      <c r="Q6" s="135" t="s">
        <v>6</v>
      </c>
      <c r="R6" s="119"/>
      <c r="S6" s="119"/>
      <c r="T6" s="119"/>
      <c r="U6" s="129" t="s">
        <v>7</v>
      </c>
      <c r="V6" s="119"/>
      <c r="W6" s="119"/>
      <c r="X6" s="119"/>
      <c r="Y6" s="1"/>
      <c r="Z6" s="1"/>
      <c r="AA6" s="1"/>
      <c r="AB6" s="1"/>
      <c r="AC6" s="1"/>
      <c r="AD6" s="1"/>
    </row>
    <row r="7" spans="1:30" ht="28.05" customHeight="1" x14ac:dyDescent="0.3">
      <c r="A7" s="137" t="s">
        <v>8</v>
      </c>
      <c r="B7" s="119"/>
      <c r="C7" s="119"/>
      <c r="D7" s="119"/>
      <c r="E7" s="131" t="s">
        <v>9</v>
      </c>
      <c r="F7" s="119"/>
      <c r="G7" s="119"/>
      <c r="H7" s="119"/>
      <c r="I7" s="123" t="s">
        <v>10</v>
      </c>
      <c r="J7" s="119"/>
      <c r="K7" s="119"/>
      <c r="L7" s="119"/>
      <c r="M7" s="125" t="s">
        <v>11</v>
      </c>
      <c r="N7" s="119"/>
      <c r="O7" s="119"/>
      <c r="P7" s="119"/>
      <c r="Q7" s="138" t="s">
        <v>12</v>
      </c>
      <c r="R7" s="119"/>
      <c r="S7" s="119"/>
      <c r="T7" s="119"/>
      <c r="U7" s="127" t="s">
        <v>13</v>
      </c>
      <c r="V7" s="119"/>
      <c r="W7" s="119"/>
      <c r="X7" s="119"/>
      <c r="Y7" s="1"/>
      <c r="Z7" s="1"/>
      <c r="AA7" s="1"/>
      <c r="AB7" s="1"/>
      <c r="AC7" s="1"/>
      <c r="AD7" s="1"/>
    </row>
    <row r="8" spans="1:30" ht="18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7.9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2.05" customHeight="1" x14ac:dyDescent="0.3">
      <c r="A10" s="132" t="s">
        <v>14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8" customHeight="1" x14ac:dyDescent="0.3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15</v>
      </c>
      <c r="F11" s="2" t="s">
        <v>16</v>
      </c>
      <c r="G11" s="2" t="s">
        <v>17</v>
      </c>
      <c r="H11" s="2" t="s">
        <v>18</v>
      </c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9.95" customHeight="1" x14ac:dyDescent="0.3">
      <c r="A12" s="3" t="s">
        <v>19</v>
      </c>
      <c r="B12" s="4" t="s">
        <v>20</v>
      </c>
      <c r="C12" s="5" t="s">
        <v>21</v>
      </c>
      <c r="D12" s="3" t="s">
        <v>22</v>
      </c>
      <c r="E12" s="3" t="s">
        <v>23</v>
      </c>
      <c r="F12" s="6" t="s">
        <v>24</v>
      </c>
      <c r="G12" s="5" t="s">
        <v>25</v>
      </c>
      <c r="H12" s="3" t="s">
        <v>26</v>
      </c>
      <c r="I12" s="5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9.95" customHeight="1" x14ac:dyDescent="0.3">
      <c r="A13" s="7" t="s">
        <v>27</v>
      </c>
      <c r="B13" s="8" t="s">
        <v>28</v>
      </c>
      <c r="C13" s="9" t="s">
        <v>29</v>
      </c>
      <c r="D13" s="7" t="s">
        <v>30</v>
      </c>
      <c r="E13" s="7" t="s">
        <v>31</v>
      </c>
      <c r="F13" s="10" t="s">
        <v>32</v>
      </c>
      <c r="G13" s="9" t="s">
        <v>33</v>
      </c>
      <c r="H13" s="7" t="s">
        <v>34</v>
      </c>
      <c r="I13" s="9"/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9.95" customHeight="1" x14ac:dyDescent="0.3">
      <c r="A14" s="3" t="s">
        <v>35</v>
      </c>
      <c r="B14" s="4" t="s">
        <v>36</v>
      </c>
      <c r="C14" s="5" t="s">
        <v>37</v>
      </c>
      <c r="D14" s="3" t="s">
        <v>38</v>
      </c>
      <c r="E14" s="3" t="s">
        <v>39</v>
      </c>
      <c r="F14" s="6" t="s">
        <v>40</v>
      </c>
      <c r="G14" s="5" t="s">
        <v>41</v>
      </c>
      <c r="H14" s="3" t="s">
        <v>22</v>
      </c>
      <c r="I14" s="5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9.95" customHeight="1" x14ac:dyDescent="0.3">
      <c r="A15" s="7" t="s">
        <v>42</v>
      </c>
      <c r="B15" s="8" t="s">
        <v>43</v>
      </c>
      <c r="C15" s="9" t="s">
        <v>44</v>
      </c>
      <c r="D15" s="7" t="s">
        <v>45</v>
      </c>
      <c r="E15" s="7" t="s">
        <v>46</v>
      </c>
      <c r="F15" s="10" t="s">
        <v>47</v>
      </c>
      <c r="G15" s="9" t="s">
        <v>48</v>
      </c>
      <c r="H15" s="7" t="s">
        <v>49</v>
      </c>
      <c r="I15" s="9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9.95" customHeight="1" x14ac:dyDescent="0.3">
      <c r="A16" s="3" t="s">
        <v>50</v>
      </c>
      <c r="B16" s="4" t="s">
        <v>51</v>
      </c>
      <c r="C16" s="5" t="s">
        <v>52</v>
      </c>
      <c r="D16" s="3" t="s">
        <v>53</v>
      </c>
      <c r="E16" s="3" t="s">
        <v>54</v>
      </c>
      <c r="F16" s="6" t="s">
        <v>55</v>
      </c>
      <c r="G16" s="5" t="s">
        <v>56</v>
      </c>
      <c r="H16" s="3" t="s">
        <v>26</v>
      </c>
      <c r="I16" s="5"/>
      <c r="J16" s="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8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8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2.05" customHeight="1" x14ac:dyDescent="0.3">
      <c r="A19" s="133" t="s">
        <v>57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9.95" customHeight="1" x14ac:dyDescent="0.3">
      <c r="A20" s="11" t="s">
        <v>58</v>
      </c>
      <c r="B20" s="124" t="s">
        <v>59</v>
      </c>
      <c r="C20" s="119"/>
      <c r="D20" s="119"/>
      <c r="E20" s="119"/>
      <c r="F20" s="119"/>
      <c r="G20" s="119"/>
      <c r="H20" s="119"/>
      <c r="I20" s="119"/>
      <c r="J20" s="11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9.95" customHeight="1" x14ac:dyDescent="0.3">
      <c r="A21" s="11" t="s">
        <v>60</v>
      </c>
      <c r="B21" s="124" t="s">
        <v>61</v>
      </c>
      <c r="C21" s="119"/>
      <c r="D21" s="119"/>
      <c r="E21" s="119"/>
      <c r="F21" s="119"/>
      <c r="G21" s="119"/>
      <c r="H21" s="119"/>
      <c r="I21" s="119"/>
      <c r="J21" s="11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9.95" customHeight="1" x14ac:dyDescent="0.3">
      <c r="A22" s="11" t="s">
        <v>62</v>
      </c>
      <c r="B22" s="124" t="s">
        <v>63</v>
      </c>
      <c r="C22" s="119"/>
      <c r="D22" s="119"/>
      <c r="E22" s="119"/>
      <c r="F22" s="119"/>
      <c r="G22" s="119"/>
      <c r="H22" s="119"/>
      <c r="I22" s="119"/>
      <c r="J22" s="11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9.95" customHeight="1" x14ac:dyDescent="0.3">
      <c r="A23" s="11" t="s">
        <v>64</v>
      </c>
      <c r="B23" s="124" t="s">
        <v>65</v>
      </c>
      <c r="C23" s="119"/>
      <c r="D23" s="119"/>
      <c r="E23" s="119"/>
      <c r="F23" s="119"/>
      <c r="G23" s="119"/>
      <c r="H23" s="119"/>
      <c r="I23" s="119"/>
      <c r="J23" s="11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9.95" customHeight="1" x14ac:dyDescent="0.3">
      <c r="A24" s="11" t="s">
        <v>66</v>
      </c>
      <c r="B24" s="124" t="s">
        <v>67</v>
      </c>
      <c r="C24" s="119"/>
      <c r="D24" s="119"/>
      <c r="E24" s="119"/>
      <c r="F24" s="119"/>
      <c r="G24" s="119"/>
      <c r="H24" s="119"/>
      <c r="I24" s="119"/>
      <c r="J24" s="11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9.95" customHeight="1" x14ac:dyDescent="0.3">
      <c r="A25" s="11" t="s">
        <v>68</v>
      </c>
      <c r="B25" s="124" t="s">
        <v>69</v>
      </c>
      <c r="C25" s="119"/>
      <c r="D25" s="119"/>
      <c r="E25" s="119"/>
      <c r="F25" s="119"/>
      <c r="G25" s="119"/>
      <c r="H25" s="119"/>
      <c r="I25" s="119"/>
      <c r="J25" s="11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9.95" customHeight="1" x14ac:dyDescent="0.3">
      <c r="A26" s="11" t="s">
        <v>70</v>
      </c>
      <c r="B26" s="124" t="s">
        <v>71</v>
      </c>
      <c r="C26" s="119"/>
      <c r="D26" s="119"/>
      <c r="E26" s="119"/>
      <c r="F26" s="119"/>
      <c r="G26" s="119"/>
      <c r="H26" s="119"/>
      <c r="I26" s="119"/>
      <c r="J26" s="11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9.95" customHeight="1" x14ac:dyDescent="0.3">
      <c r="A27" s="11" t="s">
        <v>72</v>
      </c>
      <c r="B27" s="124" t="s">
        <v>73</v>
      </c>
      <c r="C27" s="119"/>
      <c r="D27" s="119"/>
      <c r="E27" s="119"/>
      <c r="F27" s="119"/>
      <c r="G27" s="119"/>
      <c r="H27" s="119"/>
      <c r="I27" s="119"/>
      <c r="J27" s="11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8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8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8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8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8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8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8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8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8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8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8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8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8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8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8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8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8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8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8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8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8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8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8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8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8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8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8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8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8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8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8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8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8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8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8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8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8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8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8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8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8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8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8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8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8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8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8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8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8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8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8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8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8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8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8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8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8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8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8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8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8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8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8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8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8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8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8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8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8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8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8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8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8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8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8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8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8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8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8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8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8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8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8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8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8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8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8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8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8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8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8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8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</sheetData>
  <mergeCells count="24">
    <mergeCell ref="B27:J27"/>
    <mergeCell ref="M6:P6"/>
    <mergeCell ref="Q6:T6"/>
    <mergeCell ref="B21:J21"/>
    <mergeCell ref="A3:Z3"/>
    <mergeCell ref="B26:J26"/>
    <mergeCell ref="A7:D7"/>
    <mergeCell ref="Q7:T7"/>
    <mergeCell ref="A2:Z2"/>
    <mergeCell ref="I7:L7"/>
    <mergeCell ref="B25:J25"/>
    <mergeCell ref="B22:J22"/>
    <mergeCell ref="M7:P7"/>
    <mergeCell ref="E6:H6"/>
    <mergeCell ref="U7:X7"/>
    <mergeCell ref="I6:L6"/>
    <mergeCell ref="U6:X6"/>
    <mergeCell ref="B24:J24"/>
    <mergeCell ref="B20:J20"/>
    <mergeCell ref="A6:D6"/>
    <mergeCell ref="B23:J23"/>
    <mergeCell ref="E7:H7"/>
    <mergeCell ref="A10:J10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59E0B"/>
  </sheetPr>
  <dimension ref="A1:T80"/>
  <sheetViews>
    <sheetView showGridLines="0" topLeftCell="A11" workbookViewId="0">
      <selection activeCell="B23" sqref="B23:P26"/>
    </sheetView>
  </sheetViews>
  <sheetFormatPr defaultRowHeight="14.4" x14ac:dyDescent="0.3"/>
  <cols>
    <col min="1" max="1" width="24.21875" bestFit="1" customWidth="1"/>
    <col min="2" max="8" width="18" customWidth="1"/>
  </cols>
  <sheetData>
    <row r="1" spans="1:20" ht="36" customHeight="1" x14ac:dyDescent="0.3">
      <c r="A1" s="139" t="s">
        <v>74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"/>
      <c r="R1" s="1"/>
      <c r="S1" s="1"/>
      <c r="T1" s="1"/>
    </row>
    <row r="2" spans="1:20" ht="7.9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2.05" customHeight="1" x14ac:dyDescent="0.3">
      <c r="A3" s="133" t="s">
        <v>75</v>
      </c>
      <c r="B3" s="119"/>
      <c r="C3" s="119"/>
      <c r="D3" s="119"/>
      <c r="E3" s="119"/>
      <c r="F3" s="119"/>
      <c r="G3" s="119"/>
      <c r="H3" s="11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9.95" customHeight="1" x14ac:dyDescent="0.3">
      <c r="A4" s="12" t="s">
        <v>76</v>
      </c>
      <c r="B4" s="12" t="s">
        <v>77</v>
      </c>
      <c r="C4" s="12" t="s">
        <v>78</v>
      </c>
      <c r="D4" s="12" t="s">
        <v>79</v>
      </c>
      <c r="E4" s="12" t="s">
        <v>80</v>
      </c>
      <c r="F4" s="12" t="s">
        <v>81</v>
      </c>
      <c r="G4" s="12" t="s">
        <v>82</v>
      </c>
      <c r="H4" s="12" t="s">
        <v>83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8" customHeight="1" x14ac:dyDescent="0.3">
      <c r="A5" s="13" t="s">
        <v>84</v>
      </c>
      <c r="B5" s="14">
        <v>99713214</v>
      </c>
      <c r="C5" s="15">
        <v>13839</v>
      </c>
      <c r="D5" s="16">
        <v>7205.23</v>
      </c>
      <c r="E5" s="17">
        <v>0.1010711024420288</v>
      </c>
      <c r="F5" s="18">
        <v>1</v>
      </c>
      <c r="G5" s="10" t="s">
        <v>85</v>
      </c>
      <c r="H5" s="9" t="s">
        <v>86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8" customHeight="1" x14ac:dyDescent="0.3">
      <c r="A6" s="19" t="s">
        <v>87</v>
      </c>
      <c r="B6" s="20">
        <v>89374095</v>
      </c>
      <c r="C6" s="21">
        <v>13495</v>
      </c>
      <c r="D6" s="22">
        <v>6622.76</v>
      </c>
      <c r="E6" s="23">
        <v>9.0591185952632269E-2</v>
      </c>
      <c r="F6" s="24">
        <v>4</v>
      </c>
      <c r="G6" s="5"/>
      <c r="H6" s="5" t="s">
        <v>86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8" customHeight="1" x14ac:dyDescent="0.3">
      <c r="A7" s="13" t="s">
        <v>88</v>
      </c>
      <c r="B7" s="25">
        <v>92779487</v>
      </c>
      <c r="C7" s="15">
        <v>13328</v>
      </c>
      <c r="D7" s="16">
        <v>6961.25</v>
      </c>
      <c r="E7" s="17">
        <v>9.4042952372349373E-2</v>
      </c>
      <c r="F7" s="18">
        <v>3</v>
      </c>
      <c r="G7" s="9"/>
      <c r="H7" s="9" t="s">
        <v>86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8" customHeight="1" x14ac:dyDescent="0.3">
      <c r="A8" s="19" t="s">
        <v>89</v>
      </c>
      <c r="B8" s="20">
        <v>88838211</v>
      </c>
      <c r="C8" s="21">
        <v>13088</v>
      </c>
      <c r="D8" s="22">
        <v>6787.76</v>
      </c>
      <c r="E8" s="23">
        <v>9.0048004317136651E-2</v>
      </c>
      <c r="F8" s="24">
        <v>5</v>
      </c>
      <c r="G8" s="5"/>
      <c r="H8" s="5" t="s">
        <v>90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customHeight="1" x14ac:dyDescent="0.3">
      <c r="A9" s="13" t="s">
        <v>91</v>
      </c>
      <c r="B9" s="25">
        <v>83613173</v>
      </c>
      <c r="C9" s="15">
        <v>13490</v>
      </c>
      <c r="D9" s="16">
        <v>6198.16</v>
      </c>
      <c r="E9" s="17">
        <v>8.4751812069622762E-2</v>
      </c>
      <c r="F9" s="18">
        <v>7</v>
      </c>
      <c r="G9" s="9"/>
      <c r="H9" s="9" t="s">
        <v>90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8" customHeight="1" x14ac:dyDescent="0.3">
      <c r="A10" s="19" t="s">
        <v>92</v>
      </c>
      <c r="B10" s="20">
        <v>75055812</v>
      </c>
      <c r="C10" s="21">
        <v>12558</v>
      </c>
      <c r="D10" s="22">
        <v>5976.73</v>
      </c>
      <c r="E10" s="23">
        <v>7.6077917451559188E-2</v>
      </c>
      <c r="F10" s="24">
        <v>9</v>
      </c>
      <c r="G10" s="5"/>
      <c r="H10" s="5" t="s">
        <v>90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8" customHeight="1" x14ac:dyDescent="0.3">
      <c r="A11" s="13" t="s">
        <v>93</v>
      </c>
      <c r="B11" s="15">
        <v>71420820</v>
      </c>
      <c r="C11" s="15">
        <v>10274</v>
      </c>
      <c r="D11" s="16">
        <v>6951.61</v>
      </c>
      <c r="E11" s="17">
        <v>7.2393424353102295E-2</v>
      </c>
      <c r="F11" s="18">
        <v>11</v>
      </c>
      <c r="G11" s="10" t="s">
        <v>94</v>
      </c>
      <c r="H11" s="9" t="s">
        <v>95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8" customHeight="1" x14ac:dyDescent="0.3">
      <c r="A12" s="19" t="s">
        <v>96</v>
      </c>
      <c r="B12" s="20">
        <v>71671699</v>
      </c>
      <c r="C12" s="21">
        <v>9378</v>
      </c>
      <c r="D12" s="22">
        <v>7642.54</v>
      </c>
      <c r="E12" s="23">
        <v>7.2647719807961003E-2</v>
      </c>
      <c r="F12" s="24">
        <v>10</v>
      </c>
      <c r="G12" s="5"/>
      <c r="H12" s="5" t="s">
        <v>95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8" customHeight="1" x14ac:dyDescent="0.3">
      <c r="A13" s="13" t="s">
        <v>97</v>
      </c>
      <c r="B13" s="15">
        <v>55164102</v>
      </c>
      <c r="C13" s="15">
        <v>8876</v>
      </c>
      <c r="D13" s="16">
        <v>6214.97</v>
      </c>
      <c r="E13" s="17">
        <v>5.5915323362904813E-2</v>
      </c>
      <c r="F13" s="18">
        <v>12</v>
      </c>
      <c r="G13" s="10" t="s">
        <v>94</v>
      </c>
      <c r="H13" s="9" t="s">
        <v>95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8" customHeight="1" x14ac:dyDescent="0.3">
      <c r="A14" s="19" t="s">
        <v>98</v>
      </c>
      <c r="B14" s="20">
        <v>80805648</v>
      </c>
      <c r="C14" s="21">
        <v>13619</v>
      </c>
      <c r="D14" s="22">
        <v>5933.3</v>
      </c>
      <c r="E14" s="23">
        <v>8.1906054366099573E-2</v>
      </c>
      <c r="F14" s="24">
        <v>8</v>
      </c>
      <c r="G14" s="5"/>
      <c r="H14" s="5" t="s">
        <v>99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8" customHeight="1" x14ac:dyDescent="0.3">
      <c r="A15" s="13" t="s">
        <v>100</v>
      </c>
      <c r="B15" s="25">
        <v>93308613</v>
      </c>
      <c r="C15" s="15">
        <v>14188</v>
      </c>
      <c r="D15" s="16">
        <v>6576.59</v>
      </c>
      <c r="E15" s="17">
        <v>9.4579283977814829E-2</v>
      </c>
      <c r="F15" s="18">
        <v>2</v>
      </c>
      <c r="G15" s="9"/>
      <c r="H15" s="9" t="s">
        <v>99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8" customHeight="1" x14ac:dyDescent="0.3">
      <c r="A16" s="19" t="s">
        <v>101</v>
      </c>
      <c r="B16" s="20">
        <v>84820144</v>
      </c>
      <c r="C16" s="21">
        <v>12537</v>
      </c>
      <c r="D16" s="22">
        <v>6765.59</v>
      </c>
      <c r="E16" s="23">
        <v>8.5975219526788452E-2</v>
      </c>
      <c r="F16" s="24">
        <v>6</v>
      </c>
      <c r="G16" s="5"/>
      <c r="H16" s="5" t="s">
        <v>99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9.95" customHeight="1" x14ac:dyDescent="0.3">
      <c r="A17" s="141" t="s">
        <v>102</v>
      </c>
      <c r="B17" s="26">
        <f>SUM(B5:B16)</f>
        <v>986565018</v>
      </c>
      <c r="C17" s="27">
        <f>SUM(C5:C16)</f>
        <v>148670</v>
      </c>
      <c r="D17" s="28">
        <f>AVERAGE(D5:D16)</f>
        <v>6653.0408333333326</v>
      </c>
      <c r="E17" s="29">
        <f>SUM(E5:E16)</f>
        <v>1</v>
      </c>
      <c r="F17" s="30"/>
      <c r="G17" s="30"/>
      <c r="H17" s="3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7.9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2.05" customHeight="1" x14ac:dyDescent="0.3">
      <c r="A20" s="132" t="s">
        <v>103</v>
      </c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"/>
      <c r="R20" s="1"/>
      <c r="S20" s="1"/>
      <c r="T20" s="1"/>
    </row>
    <row r="21" spans="1:20" ht="22.05" customHeight="1" x14ac:dyDescent="0.3">
      <c r="A21" s="31" t="s">
        <v>104</v>
      </c>
      <c r="B21" s="140" t="s">
        <v>105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"/>
      <c r="R21" s="1"/>
      <c r="S21" s="1"/>
      <c r="T21" s="1"/>
    </row>
    <row r="22" spans="1:20" ht="22.05" customHeight="1" x14ac:dyDescent="0.3">
      <c r="A22" s="31" t="s">
        <v>106</v>
      </c>
      <c r="B22" s="156" t="s">
        <v>107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"/>
      <c r="R22" s="1"/>
      <c r="S22" s="1"/>
      <c r="T22" s="1"/>
    </row>
    <row r="23" spans="1:20" ht="22.05" customHeight="1" x14ac:dyDescent="0.3">
      <c r="A23" s="31" t="s">
        <v>108</v>
      </c>
      <c r="B23" s="140" t="s">
        <v>109</v>
      </c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"/>
      <c r="R23" s="1"/>
      <c r="S23" s="1"/>
      <c r="T23" s="1"/>
    </row>
    <row r="24" spans="1:20" ht="22.05" customHeight="1" x14ac:dyDescent="0.3">
      <c r="A24" s="31" t="s">
        <v>110</v>
      </c>
      <c r="B24" s="140" t="s">
        <v>111</v>
      </c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"/>
      <c r="R24" s="1"/>
      <c r="S24" s="1"/>
      <c r="T24" s="1"/>
    </row>
    <row r="25" spans="1:20" ht="22.05" customHeight="1" x14ac:dyDescent="0.3">
      <c r="A25" s="31" t="s">
        <v>112</v>
      </c>
      <c r="B25" s="140" t="s">
        <v>113</v>
      </c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"/>
      <c r="R25" s="1"/>
      <c r="S25" s="1"/>
      <c r="T25" s="1"/>
    </row>
    <row r="26" spans="1:20" ht="22.05" customHeight="1" x14ac:dyDescent="0.3">
      <c r="A26" s="31" t="s">
        <v>114</v>
      </c>
      <c r="B26" s="140" t="s">
        <v>115</v>
      </c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"/>
      <c r="R26" s="1"/>
      <c r="S26" s="1"/>
      <c r="T26" s="1"/>
    </row>
    <row r="27" spans="1:2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</sheetData>
  <mergeCells count="10">
    <mergeCell ref="A1:P1"/>
    <mergeCell ref="B22:P22"/>
    <mergeCell ref="B23:P23"/>
    <mergeCell ref="A20:P20"/>
    <mergeCell ref="B26:P26"/>
    <mergeCell ref="B21:P21"/>
    <mergeCell ref="A3:H3"/>
    <mergeCell ref="B25:P25"/>
    <mergeCell ref="A17"/>
    <mergeCell ref="B24:P2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2D3EE"/>
  </sheetPr>
  <dimension ref="A1:T80"/>
  <sheetViews>
    <sheetView showGridLines="0" tabSelected="1" workbookViewId="0">
      <selection activeCell="W9" sqref="W9"/>
    </sheetView>
  </sheetViews>
  <sheetFormatPr defaultRowHeight="14.4" x14ac:dyDescent="0.3"/>
  <cols>
    <col min="1" max="1" width="23.21875" bestFit="1" customWidth="1"/>
    <col min="2" max="2" width="18" customWidth="1"/>
    <col min="3" max="3" width="10" customWidth="1"/>
    <col min="4" max="4" width="18" customWidth="1"/>
    <col min="5" max="7" width="12" customWidth="1"/>
    <col min="8" max="8" width="20" customWidth="1"/>
  </cols>
  <sheetData>
    <row r="1" spans="1:20" ht="36" customHeight="1" x14ac:dyDescent="0.3">
      <c r="A1" s="142" t="s">
        <v>116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"/>
      <c r="P1" s="1"/>
      <c r="Q1" s="1"/>
      <c r="R1" s="1"/>
      <c r="S1" s="1"/>
      <c r="T1" s="1"/>
    </row>
    <row r="2" spans="1:2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2.05" customHeight="1" x14ac:dyDescent="0.3">
      <c r="A3" s="143" t="s">
        <v>117</v>
      </c>
      <c r="B3" s="119"/>
      <c r="C3" s="119"/>
      <c r="D3" s="119"/>
      <c r="E3" s="119"/>
      <c r="F3" s="119"/>
      <c r="G3" s="119"/>
      <c r="H3" s="11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32" t="s">
        <v>118</v>
      </c>
      <c r="B4" s="32" t="s">
        <v>77</v>
      </c>
      <c r="C4" s="32" t="s">
        <v>78</v>
      </c>
      <c r="D4" s="32" t="s">
        <v>119</v>
      </c>
      <c r="E4" s="32" t="s">
        <v>80</v>
      </c>
      <c r="F4" s="32" t="s">
        <v>120</v>
      </c>
      <c r="G4" s="32" t="s">
        <v>121</v>
      </c>
      <c r="H4" s="32" t="s">
        <v>122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8" customHeight="1" x14ac:dyDescent="0.3">
      <c r="A5" s="13" t="s">
        <v>28</v>
      </c>
      <c r="B5" s="33">
        <v>42503460</v>
      </c>
      <c r="C5" s="15">
        <v>242</v>
      </c>
      <c r="D5" s="34">
        <v>175634</v>
      </c>
      <c r="E5" s="17">
        <v>0.20946525611333849</v>
      </c>
      <c r="F5" s="18">
        <v>1</v>
      </c>
      <c r="G5" s="18">
        <v>10</v>
      </c>
      <c r="H5" s="9" t="s">
        <v>123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8" customHeight="1" x14ac:dyDescent="0.3">
      <c r="A6" s="19" t="s">
        <v>124</v>
      </c>
      <c r="B6" s="35">
        <v>28599623</v>
      </c>
      <c r="C6" s="21">
        <v>1027</v>
      </c>
      <c r="D6" s="35">
        <v>27848</v>
      </c>
      <c r="E6" s="23">
        <v>0.14094446326110691</v>
      </c>
      <c r="F6" s="24">
        <v>2</v>
      </c>
      <c r="G6" s="24">
        <v>3</v>
      </c>
      <c r="H6" s="5" t="s">
        <v>125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8" customHeight="1" x14ac:dyDescent="0.3">
      <c r="A7" s="13" t="s">
        <v>126</v>
      </c>
      <c r="B7" s="34">
        <v>26784833</v>
      </c>
      <c r="C7" s="15">
        <v>808</v>
      </c>
      <c r="D7" s="34">
        <v>33150</v>
      </c>
      <c r="E7" s="17">
        <v>0.1320008277984428</v>
      </c>
      <c r="F7" s="18">
        <v>3</v>
      </c>
      <c r="G7" s="18">
        <v>5</v>
      </c>
      <c r="H7" s="9" t="s">
        <v>125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8" customHeight="1" x14ac:dyDescent="0.3">
      <c r="A8" s="19" t="s">
        <v>127</v>
      </c>
      <c r="B8" s="21">
        <v>22756624</v>
      </c>
      <c r="C8" s="21">
        <v>479</v>
      </c>
      <c r="D8" s="35">
        <v>47509</v>
      </c>
      <c r="E8" s="23">
        <v>0.1121490362063452</v>
      </c>
      <c r="F8" s="24">
        <v>4</v>
      </c>
      <c r="G8" s="24">
        <v>7</v>
      </c>
      <c r="H8" s="5" t="s">
        <v>123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customHeight="1" x14ac:dyDescent="0.3">
      <c r="A9" s="13" t="s">
        <v>128</v>
      </c>
      <c r="B9" s="15">
        <v>16508442</v>
      </c>
      <c r="C9" s="15">
        <v>900</v>
      </c>
      <c r="D9" s="34">
        <v>18343</v>
      </c>
      <c r="E9" s="17">
        <v>8.1356789107573671E-2</v>
      </c>
      <c r="F9" s="18">
        <v>5</v>
      </c>
      <c r="G9" s="18">
        <v>4</v>
      </c>
      <c r="H9" s="9" t="s">
        <v>125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8" customHeight="1" x14ac:dyDescent="0.3">
      <c r="A10" s="19" t="s">
        <v>129</v>
      </c>
      <c r="B10" s="21">
        <v>15056504</v>
      </c>
      <c r="C10" s="21">
        <v>264</v>
      </c>
      <c r="D10" s="35">
        <v>57032</v>
      </c>
      <c r="E10" s="23">
        <v>7.4201358348979243E-2</v>
      </c>
      <c r="F10" s="24">
        <v>6</v>
      </c>
      <c r="G10" s="24">
        <v>9</v>
      </c>
      <c r="H10" s="5" t="s">
        <v>130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8" customHeight="1" x14ac:dyDescent="0.3">
      <c r="A11" s="13" t="s">
        <v>131</v>
      </c>
      <c r="B11" s="15">
        <v>13091765</v>
      </c>
      <c r="C11" s="15">
        <v>592</v>
      </c>
      <c r="D11" s="34">
        <v>22114</v>
      </c>
      <c r="E11" s="17">
        <v>6.4518745266870986E-2</v>
      </c>
      <c r="F11" s="18">
        <v>7</v>
      </c>
      <c r="G11" s="18">
        <v>6</v>
      </c>
      <c r="H11" s="9" t="s">
        <v>125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8" customHeight="1" x14ac:dyDescent="0.3">
      <c r="A12" s="19" t="s">
        <v>132</v>
      </c>
      <c r="B12" s="21">
        <v>13027458</v>
      </c>
      <c r="C12" s="21">
        <v>1200</v>
      </c>
      <c r="D12" s="35">
        <v>10856</v>
      </c>
      <c r="E12" s="23">
        <v>6.4201827956494845E-2</v>
      </c>
      <c r="F12" s="24">
        <v>8</v>
      </c>
      <c r="G12" s="24">
        <v>1</v>
      </c>
      <c r="H12" s="5" t="s">
        <v>125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8" customHeight="1" x14ac:dyDescent="0.3">
      <c r="A13" s="13" t="s">
        <v>133</v>
      </c>
      <c r="B13" s="15">
        <v>12396403</v>
      </c>
      <c r="C13" s="15">
        <v>430</v>
      </c>
      <c r="D13" s="34">
        <v>28829</v>
      </c>
      <c r="E13" s="17">
        <v>6.1091867092212197E-2</v>
      </c>
      <c r="F13" s="18">
        <v>9</v>
      </c>
      <c r="G13" s="18">
        <v>8</v>
      </c>
      <c r="H13" s="9" t="s">
        <v>125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8" customHeight="1" x14ac:dyDescent="0.3">
      <c r="A14" s="19" t="s">
        <v>134</v>
      </c>
      <c r="B14" s="21">
        <v>12189017</v>
      </c>
      <c r="C14" s="21">
        <v>1112</v>
      </c>
      <c r="D14" s="35">
        <v>10961</v>
      </c>
      <c r="E14" s="23">
        <v>6.0069828848635771E-2</v>
      </c>
      <c r="F14" s="24">
        <v>10</v>
      </c>
      <c r="G14" s="24">
        <v>2</v>
      </c>
      <c r="H14" s="5" t="s">
        <v>125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22.05" customHeight="1" x14ac:dyDescent="0.3">
      <c r="A17" s="132" t="s">
        <v>135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"/>
      <c r="P17" s="1"/>
      <c r="Q17" s="1"/>
      <c r="R17" s="1"/>
      <c r="S17" s="1"/>
      <c r="T17" s="1"/>
    </row>
    <row r="18" spans="1:20" ht="24" customHeight="1" x14ac:dyDescent="0.3">
      <c r="A18" s="36" t="s">
        <v>136</v>
      </c>
      <c r="B18" s="140" t="s">
        <v>137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"/>
      <c r="P18" s="1"/>
      <c r="Q18" s="1"/>
      <c r="R18" s="1"/>
      <c r="S18" s="1"/>
      <c r="T18" s="1"/>
    </row>
    <row r="19" spans="1:20" ht="24" customHeight="1" x14ac:dyDescent="0.3">
      <c r="A19" s="36" t="s">
        <v>138</v>
      </c>
      <c r="B19" s="140" t="s">
        <v>139</v>
      </c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"/>
      <c r="P19" s="1"/>
      <c r="Q19" s="1"/>
      <c r="R19" s="1"/>
      <c r="S19" s="1"/>
      <c r="T19" s="1"/>
    </row>
    <row r="20" spans="1:20" ht="24" customHeight="1" x14ac:dyDescent="0.3">
      <c r="A20" s="36" t="s">
        <v>140</v>
      </c>
      <c r="B20" s="140" t="s">
        <v>141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"/>
      <c r="P20" s="1"/>
      <c r="Q20" s="1"/>
      <c r="R20" s="1"/>
      <c r="S20" s="1"/>
      <c r="T20" s="1"/>
    </row>
    <row r="21" spans="1:20" ht="24" customHeight="1" x14ac:dyDescent="0.3">
      <c r="A21" s="36" t="s">
        <v>142</v>
      </c>
      <c r="B21" s="140" t="s">
        <v>143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"/>
      <c r="P21" s="1"/>
      <c r="Q21" s="1"/>
      <c r="R21" s="1"/>
      <c r="S21" s="1"/>
      <c r="T21" s="1"/>
    </row>
    <row r="22" spans="1:20" ht="24" customHeight="1" x14ac:dyDescent="0.3">
      <c r="A22" s="36" t="s">
        <v>144</v>
      </c>
      <c r="B22" s="140" t="s">
        <v>145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"/>
      <c r="P22" s="1"/>
      <c r="Q22" s="1"/>
      <c r="R22" s="1"/>
      <c r="S22" s="1"/>
      <c r="T22" s="1"/>
    </row>
    <row r="23" spans="1:2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</sheetData>
  <mergeCells count="8">
    <mergeCell ref="A1:N1"/>
    <mergeCell ref="A17:N17"/>
    <mergeCell ref="B22:N22"/>
    <mergeCell ref="A3:H3"/>
    <mergeCell ref="B18:N18"/>
    <mergeCell ref="B21:N21"/>
    <mergeCell ref="B19:N19"/>
    <mergeCell ref="B20:N20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5CF6"/>
  </sheetPr>
  <dimension ref="A1:V80"/>
  <sheetViews>
    <sheetView showGridLines="0" workbookViewId="0">
      <selection activeCell="B16" sqref="B16"/>
    </sheetView>
  </sheetViews>
  <sheetFormatPr defaultRowHeight="14.4" x14ac:dyDescent="0.3"/>
  <cols>
    <col min="1" max="1" width="10" customWidth="1"/>
    <col min="2" max="2" width="18" customWidth="1"/>
    <col min="3" max="3" width="12" customWidth="1"/>
    <col min="4" max="4" width="18" customWidth="1"/>
    <col min="5" max="5" width="12" customWidth="1"/>
    <col min="6" max="6" width="20" customWidth="1"/>
    <col min="7" max="7" width="45.77734375" bestFit="1" customWidth="1"/>
    <col min="8" max="8" width="14" customWidth="1"/>
  </cols>
  <sheetData>
    <row r="1" spans="1:22" ht="36" customHeight="1" x14ac:dyDescent="0.3">
      <c r="A1" s="144" t="s">
        <v>146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"/>
    </row>
    <row r="2" spans="1:2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.05" customHeight="1" x14ac:dyDescent="0.3">
      <c r="A3" s="146" t="s">
        <v>147</v>
      </c>
      <c r="B3" s="119"/>
      <c r="C3" s="119"/>
      <c r="D3" s="119"/>
      <c r="E3" s="119"/>
      <c r="F3" s="119"/>
      <c r="G3" s="119"/>
      <c r="H3" s="11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37" t="s">
        <v>148</v>
      </c>
      <c r="B4" s="37" t="s">
        <v>77</v>
      </c>
      <c r="C4" s="37" t="s">
        <v>78</v>
      </c>
      <c r="D4" s="37" t="s">
        <v>119</v>
      </c>
      <c r="E4" s="37" t="s">
        <v>80</v>
      </c>
      <c r="F4" s="37" t="s">
        <v>149</v>
      </c>
      <c r="G4" s="37" t="s">
        <v>150</v>
      </c>
      <c r="H4" s="37" t="s">
        <v>151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" customHeight="1" x14ac:dyDescent="0.3">
      <c r="A5" s="13" t="s">
        <v>152</v>
      </c>
      <c r="B5" s="15">
        <v>242340302</v>
      </c>
      <c r="C5" s="15">
        <v>35703</v>
      </c>
      <c r="D5" s="16">
        <v>6787.67</v>
      </c>
      <c r="E5" s="17">
        <v>0.2456404773922361</v>
      </c>
      <c r="F5" s="9" t="s">
        <v>153</v>
      </c>
      <c r="G5" s="9" t="s">
        <v>154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" customHeight="1" x14ac:dyDescent="0.3">
      <c r="A6" s="19" t="s">
        <v>155</v>
      </c>
      <c r="B6" s="38">
        <v>590539299</v>
      </c>
      <c r="C6" s="21">
        <v>88987</v>
      </c>
      <c r="D6" s="22">
        <v>6636.24</v>
      </c>
      <c r="E6" s="23">
        <v>0.59858122701042293</v>
      </c>
      <c r="F6" s="5" t="s">
        <v>156</v>
      </c>
      <c r="G6" s="5" t="s">
        <v>157</v>
      </c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" customHeight="1" x14ac:dyDescent="0.3">
      <c r="A7" s="13" t="s">
        <v>158</v>
      </c>
      <c r="B7" s="15">
        <v>151033539</v>
      </c>
      <c r="C7" s="15">
        <v>23607</v>
      </c>
      <c r="D7" s="16">
        <v>6397.83</v>
      </c>
      <c r="E7" s="17">
        <v>0.15309030448513231</v>
      </c>
      <c r="F7" s="9" t="s">
        <v>159</v>
      </c>
      <c r="G7" s="9" t="s">
        <v>160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" customHeight="1" x14ac:dyDescent="0.3">
      <c r="A8" s="19" t="s">
        <v>161</v>
      </c>
      <c r="B8" s="21">
        <v>2651878</v>
      </c>
      <c r="C8" s="21">
        <v>373</v>
      </c>
      <c r="D8" s="22">
        <v>7109.59</v>
      </c>
      <c r="E8" s="23">
        <v>2.687991112208684E-3</v>
      </c>
      <c r="F8" s="5" t="s">
        <v>162</v>
      </c>
      <c r="G8" s="5" t="s">
        <v>163</v>
      </c>
      <c r="H8" s="6" t="s">
        <v>164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2.05" customHeight="1" x14ac:dyDescent="0.3">
      <c r="A11" s="145" t="s">
        <v>165</v>
      </c>
      <c r="B11" s="119"/>
      <c r="C11" s="119"/>
      <c r="D11" s="119"/>
      <c r="E11" s="119"/>
      <c r="F11" s="119"/>
      <c r="G11" s="11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39" t="s">
        <v>166</v>
      </c>
      <c r="B12" s="39" t="s">
        <v>77</v>
      </c>
      <c r="C12" s="39" t="s">
        <v>78</v>
      </c>
      <c r="D12" s="39" t="s">
        <v>119</v>
      </c>
      <c r="E12" s="39" t="s">
        <v>80</v>
      </c>
      <c r="F12" s="39" t="s">
        <v>167</v>
      </c>
      <c r="G12" s="39" t="s">
        <v>168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9.95" customHeight="1" x14ac:dyDescent="0.3">
      <c r="A13" s="40" t="s">
        <v>369</v>
      </c>
      <c r="B13" s="41">
        <v>427242981</v>
      </c>
      <c r="C13" s="15">
        <v>63641</v>
      </c>
      <c r="D13" s="16">
        <v>6713.33</v>
      </c>
      <c r="E13" s="17">
        <v>0.43306114975181492</v>
      </c>
      <c r="F13" s="17">
        <v>0.42806887737943089</v>
      </c>
      <c r="G13" s="9" t="s">
        <v>169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9.95" customHeight="1" x14ac:dyDescent="0.3">
      <c r="A14" s="42" t="s">
        <v>170</v>
      </c>
      <c r="B14" s="43">
        <v>559322037</v>
      </c>
      <c r="C14" s="21">
        <v>85029</v>
      </c>
      <c r="D14" s="22">
        <v>6578.01</v>
      </c>
      <c r="E14" s="23">
        <v>0.56693885024818502</v>
      </c>
      <c r="F14" s="23">
        <v>0.571931122620569</v>
      </c>
      <c r="G14" s="5" t="s">
        <v>171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2.05" customHeight="1" x14ac:dyDescent="0.3">
      <c r="A17" s="133" t="s">
        <v>172</v>
      </c>
      <c r="B17" s="119"/>
      <c r="C17" s="119"/>
      <c r="D17" s="119"/>
      <c r="E17" s="119"/>
      <c r="F17" s="119"/>
      <c r="G17" s="11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">
      <c r="A18" s="44" t="s">
        <v>173</v>
      </c>
      <c r="B18" s="44" t="s">
        <v>77</v>
      </c>
      <c r="C18" s="44" t="s">
        <v>78</v>
      </c>
      <c r="D18" s="44" t="s">
        <v>119</v>
      </c>
      <c r="E18" s="44" t="s">
        <v>80</v>
      </c>
      <c r="F18" s="44" t="s">
        <v>120</v>
      </c>
      <c r="G18" s="44" t="s">
        <v>174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2.05" customHeight="1" x14ac:dyDescent="0.3">
      <c r="A19" s="45" t="s">
        <v>175</v>
      </c>
      <c r="B19" s="33">
        <v>527755741</v>
      </c>
      <c r="C19" s="15">
        <v>79187</v>
      </c>
      <c r="D19" s="16">
        <v>6664.68</v>
      </c>
      <c r="E19" s="17">
        <v>0.53494268636230924</v>
      </c>
      <c r="F19" s="18">
        <v>1</v>
      </c>
      <c r="G19" s="9" t="s">
        <v>176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2.05" customHeight="1" x14ac:dyDescent="0.3">
      <c r="A20" s="46" t="s">
        <v>177</v>
      </c>
      <c r="B20" s="35">
        <v>299878490</v>
      </c>
      <c r="C20" s="21">
        <v>45288</v>
      </c>
      <c r="D20" s="22">
        <v>6621.59</v>
      </c>
      <c r="E20" s="23">
        <v>0.30396221691290498</v>
      </c>
      <c r="F20" s="24">
        <v>2</v>
      </c>
      <c r="G20" s="5" t="s">
        <v>178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2.05" customHeight="1" x14ac:dyDescent="0.3">
      <c r="A21" s="47" t="s">
        <v>179</v>
      </c>
      <c r="B21" s="48">
        <v>136377723</v>
      </c>
      <c r="C21" s="15">
        <v>20772</v>
      </c>
      <c r="D21" s="16">
        <v>6565.46</v>
      </c>
      <c r="E21" s="17">
        <v>0.13823490648033501</v>
      </c>
      <c r="F21" s="18">
        <v>3</v>
      </c>
      <c r="G21" s="9" t="s">
        <v>180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2.05" customHeight="1" x14ac:dyDescent="0.3">
      <c r="A22" s="49" t="s">
        <v>181</v>
      </c>
      <c r="B22" s="21">
        <v>22553064</v>
      </c>
      <c r="C22" s="21">
        <v>3423</v>
      </c>
      <c r="D22" s="22">
        <v>6588.68</v>
      </c>
      <c r="E22" s="23">
        <v>2.2860190244450771E-2</v>
      </c>
      <c r="F22" s="24">
        <v>4</v>
      </c>
      <c r="G22" s="5" t="s">
        <v>182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2.05" customHeight="1" x14ac:dyDescent="0.3">
      <c r="A25" s="132" t="s">
        <v>183</v>
      </c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"/>
      <c r="P25" s="1"/>
      <c r="Q25" s="1"/>
      <c r="R25" s="1"/>
      <c r="S25" s="1"/>
      <c r="T25" s="1"/>
      <c r="U25" s="1"/>
      <c r="V25" s="1"/>
    </row>
    <row r="26" spans="1:22" ht="24" customHeight="1" x14ac:dyDescent="0.3">
      <c r="A26" s="50" t="s">
        <v>184</v>
      </c>
      <c r="B26" s="140" t="s">
        <v>185</v>
      </c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"/>
      <c r="P26" s="1"/>
      <c r="Q26" s="1"/>
      <c r="R26" s="1"/>
      <c r="S26" s="1"/>
      <c r="T26" s="1"/>
      <c r="U26" s="1"/>
      <c r="V26" s="1"/>
    </row>
    <row r="27" spans="1:22" ht="24" customHeight="1" x14ac:dyDescent="0.3">
      <c r="A27" s="50" t="s">
        <v>186</v>
      </c>
      <c r="B27" s="140" t="s">
        <v>187</v>
      </c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"/>
      <c r="P27" s="1"/>
      <c r="Q27" s="1"/>
      <c r="R27" s="1"/>
      <c r="S27" s="1"/>
      <c r="T27" s="1"/>
      <c r="U27" s="1"/>
      <c r="V27" s="1"/>
    </row>
    <row r="28" spans="1:22" ht="24" customHeight="1" x14ac:dyDescent="0.3">
      <c r="A28" s="50" t="s">
        <v>188</v>
      </c>
      <c r="B28" s="140" t="s">
        <v>189</v>
      </c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"/>
      <c r="P28" s="1"/>
      <c r="Q28" s="1"/>
      <c r="R28" s="1"/>
      <c r="S28" s="1"/>
      <c r="T28" s="1"/>
      <c r="U28" s="1"/>
      <c r="V28" s="1"/>
    </row>
    <row r="29" spans="1:22" ht="24" customHeight="1" x14ac:dyDescent="0.3">
      <c r="A29" s="50" t="s">
        <v>190</v>
      </c>
      <c r="B29" s="140" t="s">
        <v>191</v>
      </c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"/>
      <c r="P29" s="1"/>
      <c r="Q29" s="1"/>
      <c r="R29" s="1"/>
      <c r="S29" s="1"/>
      <c r="T29" s="1"/>
      <c r="U29" s="1"/>
      <c r="V29" s="1"/>
    </row>
    <row r="30" spans="1:22" ht="24" customHeight="1" x14ac:dyDescent="0.3">
      <c r="A30" s="50" t="s">
        <v>192</v>
      </c>
      <c r="B30" s="140" t="s">
        <v>193</v>
      </c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</sheetData>
  <mergeCells count="10">
    <mergeCell ref="B30:N30"/>
    <mergeCell ref="B29:N29"/>
    <mergeCell ref="A1:U1"/>
    <mergeCell ref="A11:G11"/>
    <mergeCell ref="B28:N28"/>
    <mergeCell ref="A3:H3"/>
    <mergeCell ref="A17:G17"/>
    <mergeCell ref="B27:N27"/>
    <mergeCell ref="B26:N26"/>
    <mergeCell ref="A25:N2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0B981"/>
  </sheetPr>
  <dimension ref="A1:R60"/>
  <sheetViews>
    <sheetView showGridLines="0" topLeftCell="A18" workbookViewId="0">
      <selection activeCell="U9" sqref="U9"/>
    </sheetView>
  </sheetViews>
  <sheetFormatPr defaultRowHeight="14.4" x14ac:dyDescent="0.3"/>
  <cols>
    <col min="1" max="1" width="19.44140625" bestFit="1" customWidth="1"/>
    <col min="2" max="2" width="18" customWidth="1"/>
    <col min="3" max="3" width="12" customWidth="1"/>
    <col min="4" max="4" width="18" customWidth="1"/>
    <col min="5" max="5" width="12" customWidth="1"/>
    <col min="6" max="6" width="10" customWidth="1"/>
    <col min="7" max="7" width="12" customWidth="1"/>
    <col min="8" max="8" width="18" customWidth="1"/>
    <col min="9" max="9" width="20" customWidth="1"/>
  </cols>
  <sheetData>
    <row r="1" spans="1:18" ht="36" customHeight="1" x14ac:dyDescent="0.3">
      <c r="A1" s="147" t="s">
        <v>194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2.05" customHeight="1" x14ac:dyDescent="0.3">
      <c r="A3" s="148" t="s">
        <v>195</v>
      </c>
      <c r="B3" s="119"/>
      <c r="C3" s="119"/>
      <c r="D3" s="119"/>
      <c r="E3" s="119"/>
      <c r="F3" s="119"/>
      <c r="G3" s="119"/>
      <c r="H3" s="119"/>
      <c r="I3" s="119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51" t="s">
        <v>196</v>
      </c>
      <c r="B4" s="51" t="s">
        <v>77</v>
      </c>
      <c r="C4" s="51" t="s">
        <v>78</v>
      </c>
      <c r="D4" s="51" t="s">
        <v>119</v>
      </c>
      <c r="E4" s="51" t="s">
        <v>80</v>
      </c>
      <c r="F4" s="51" t="s">
        <v>120</v>
      </c>
      <c r="G4" s="51" t="s">
        <v>197</v>
      </c>
      <c r="H4" s="51" t="s">
        <v>198</v>
      </c>
      <c r="I4" s="51" t="s">
        <v>168</v>
      </c>
      <c r="J4" s="1"/>
      <c r="K4" s="1"/>
      <c r="L4" s="1"/>
      <c r="M4" s="1"/>
      <c r="N4" s="1"/>
      <c r="O4" s="1"/>
      <c r="P4" s="1"/>
      <c r="Q4" s="1"/>
      <c r="R4" s="1"/>
    </row>
    <row r="5" spans="1:18" ht="19.95" customHeight="1" x14ac:dyDescent="0.3">
      <c r="A5" s="13" t="s">
        <v>199</v>
      </c>
      <c r="B5" s="25">
        <v>166225917</v>
      </c>
      <c r="C5" s="15">
        <v>26021</v>
      </c>
      <c r="D5" s="16">
        <v>6388.14</v>
      </c>
      <c r="E5" s="17">
        <v>0.16848957135838771</v>
      </c>
      <c r="F5" s="18">
        <v>5</v>
      </c>
      <c r="G5" s="52" t="s">
        <v>200</v>
      </c>
      <c r="H5" s="17">
        <v>0.62925379512330981</v>
      </c>
      <c r="I5" s="9"/>
      <c r="J5" s="1"/>
      <c r="K5" s="1"/>
      <c r="L5" s="1"/>
      <c r="M5" s="1"/>
      <c r="N5" s="1"/>
      <c r="O5" s="1"/>
      <c r="P5" s="1"/>
      <c r="Q5" s="1"/>
      <c r="R5" s="1"/>
    </row>
    <row r="6" spans="1:18" ht="19.95" customHeight="1" x14ac:dyDescent="0.3">
      <c r="A6" s="19" t="s">
        <v>201</v>
      </c>
      <c r="B6" s="20">
        <v>177843390</v>
      </c>
      <c r="C6" s="21">
        <v>29140</v>
      </c>
      <c r="D6" s="22">
        <v>6103.07</v>
      </c>
      <c r="E6" s="23">
        <v>0.18026525039427249</v>
      </c>
      <c r="F6" s="24">
        <v>4</v>
      </c>
      <c r="G6" s="53" t="s">
        <v>200</v>
      </c>
      <c r="H6" s="23">
        <v>0.67323212959080792</v>
      </c>
      <c r="I6" s="5"/>
      <c r="J6" s="1"/>
      <c r="K6" s="1"/>
      <c r="L6" s="1"/>
      <c r="M6" s="1"/>
      <c r="N6" s="1"/>
      <c r="O6" s="1"/>
      <c r="P6" s="1"/>
      <c r="Q6" s="1"/>
      <c r="R6" s="1"/>
    </row>
    <row r="7" spans="1:18" ht="19.95" customHeight="1" x14ac:dyDescent="0.3">
      <c r="A7" s="13" t="s">
        <v>202</v>
      </c>
      <c r="B7" s="25">
        <v>187995290</v>
      </c>
      <c r="C7" s="15">
        <v>28755</v>
      </c>
      <c r="D7" s="16">
        <v>6537.83</v>
      </c>
      <c r="E7" s="17">
        <v>0.190555398346792</v>
      </c>
      <c r="F7" s="18">
        <v>3</v>
      </c>
      <c r="G7" s="52" t="s">
        <v>200</v>
      </c>
      <c r="H7" s="17">
        <v>0.71166248821359912</v>
      </c>
      <c r="I7" s="9"/>
      <c r="J7" s="1"/>
      <c r="K7" s="1"/>
      <c r="L7" s="1"/>
      <c r="M7" s="1"/>
      <c r="N7" s="1"/>
      <c r="O7" s="1"/>
      <c r="P7" s="1"/>
      <c r="Q7" s="1"/>
      <c r="R7" s="1"/>
    </row>
    <row r="8" spans="1:18" ht="19.95" customHeight="1" x14ac:dyDescent="0.3">
      <c r="A8" s="19" t="s">
        <v>203</v>
      </c>
      <c r="B8" s="20">
        <v>188636824</v>
      </c>
      <c r="C8" s="21">
        <v>29298</v>
      </c>
      <c r="D8" s="22">
        <v>6438.56</v>
      </c>
      <c r="E8" s="23">
        <v>0.19120566871751779</v>
      </c>
      <c r="F8" s="24">
        <v>2</v>
      </c>
      <c r="G8" s="53" t="s">
        <v>200</v>
      </c>
      <c r="H8" s="23">
        <v>0.71409103673049878</v>
      </c>
      <c r="I8" s="5"/>
      <c r="J8" s="1"/>
      <c r="K8" s="1"/>
      <c r="L8" s="1"/>
      <c r="M8" s="1"/>
      <c r="N8" s="1"/>
      <c r="O8" s="1"/>
      <c r="P8" s="1"/>
      <c r="Q8" s="1"/>
      <c r="R8" s="1"/>
    </row>
    <row r="9" spans="1:18" ht="19.95" customHeight="1" x14ac:dyDescent="0.3">
      <c r="A9" s="13" t="s">
        <v>204</v>
      </c>
      <c r="B9" s="14">
        <v>264163551</v>
      </c>
      <c r="C9" s="15">
        <v>34931</v>
      </c>
      <c r="D9" s="16">
        <v>7562.44</v>
      </c>
      <c r="E9" s="17">
        <v>0.26776091406070918</v>
      </c>
      <c r="F9" s="18">
        <v>1</v>
      </c>
      <c r="G9" s="52" t="s">
        <v>200</v>
      </c>
      <c r="H9" s="17">
        <v>1</v>
      </c>
      <c r="I9" s="10" t="s">
        <v>205</v>
      </c>
      <c r="J9" s="1"/>
      <c r="K9" s="1"/>
      <c r="L9" s="1"/>
      <c r="M9" s="1"/>
      <c r="N9" s="1"/>
      <c r="O9" s="1"/>
      <c r="P9" s="1"/>
      <c r="Q9" s="1"/>
      <c r="R9" s="1"/>
    </row>
    <row r="10" spans="1:18" ht="19.95" customHeight="1" x14ac:dyDescent="0.3">
      <c r="A10" s="54" t="s">
        <v>206</v>
      </c>
      <c r="B10" s="21">
        <v>1378694</v>
      </c>
      <c r="C10" s="21">
        <v>403</v>
      </c>
      <c r="D10" s="22">
        <v>3421.08</v>
      </c>
      <c r="E10" s="23">
        <v>1.3974689704637389E-3</v>
      </c>
      <c r="F10" s="24">
        <v>6</v>
      </c>
      <c r="G10" s="55" t="s">
        <v>207</v>
      </c>
      <c r="H10" s="23">
        <v>5.2190924704824254E-3</v>
      </c>
      <c r="I10" s="55" t="s">
        <v>208</v>
      </c>
      <c r="J10" s="1"/>
      <c r="K10" s="1"/>
      <c r="L10" s="1"/>
      <c r="M10" s="1"/>
      <c r="N10" s="1"/>
      <c r="O10" s="1"/>
      <c r="P10" s="1"/>
      <c r="Q10" s="1"/>
      <c r="R10" s="1"/>
    </row>
    <row r="11" spans="1:18" ht="19.95" customHeight="1" x14ac:dyDescent="0.3">
      <c r="A11" s="56" t="s">
        <v>209</v>
      </c>
      <c r="B11" s="15">
        <v>321352</v>
      </c>
      <c r="C11" s="15">
        <v>122</v>
      </c>
      <c r="D11" s="16">
        <v>2634.03</v>
      </c>
      <c r="E11" s="17">
        <v>3.2572815185709332E-4</v>
      </c>
      <c r="F11" s="18">
        <v>7</v>
      </c>
      <c r="G11" s="57" t="s">
        <v>207</v>
      </c>
      <c r="H11" s="17">
        <v>1.216488795609808E-3</v>
      </c>
      <c r="I11" s="57" t="s">
        <v>210</v>
      </c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7.9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2.05" customHeight="1" x14ac:dyDescent="0.3">
      <c r="A15" s="133" t="s">
        <v>211</v>
      </c>
      <c r="B15" s="119"/>
      <c r="C15" s="119"/>
      <c r="D15" s="119"/>
      <c r="E15" s="119"/>
      <c r="F15" s="11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44" t="s">
        <v>212</v>
      </c>
      <c r="B16" s="44" t="s">
        <v>77</v>
      </c>
      <c r="C16" s="44" t="s">
        <v>78</v>
      </c>
      <c r="D16" s="44" t="s">
        <v>119</v>
      </c>
      <c r="E16" s="44" t="s">
        <v>80</v>
      </c>
      <c r="F16" s="44" t="s">
        <v>213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9.95" customHeight="1" x14ac:dyDescent="0.3">
      <c r="A17" s="13" t="s">
        <v>214</v>
      </c>
      <c r="B17" s="48">
        <v>984864972</v>
      </c>
      <c r="C17" s="15">
        <v>148145</v>
      </c>
      <c r="D17" s="16">
        <v>6689.8681909973138</v>
      </c>
      <c r="E17" s="17">
        <v>0.99827680287767917</v>
      </c>
      <c r="F17" s="9" t="s">
        <v>215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9.95" customHeight="1" x14ac:dyDescent="0.3">
      <c r="A18" s="19" t="s">
        <v>216</v>
      </c>
      <c r="B18" s="58">
        <v>1700046</v>
      </c>
      <c r="C18" s="21">
        <v>525</v>
      </c>
      <c r="D18" s="22">
        <v>3272.3075011382039</v>
      </c>
      <c r="E18" s="23">
        <v>1.7231971223208319E-3</v>
      </c>
      <c r="F18" s="5" t="s">
        <v>217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2.05" customHeight="1" x14ac:dyDescent="0.3">
      <c r="A21" s="132" t="s">
        <v>218</v>
      </c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"/>
      <c r="R21" s="1"/>
    </row>
    <row r="22" spans="1:18" ht="24" customHeight="1" x14ac:dyDescent="0.3">
      <c r="A22" s="59" t="s">
        <v>219</v>
      </c>
      <c r="B22" s="140" t="s">
        <v>220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"/>
      <c r="R22" s="1"/>
    </row>
    <row r="23" spans="1:18" ht="24" customHeight="1" x14ac:dyDescent="0.3">
      <c r="A23" s="59" t="s">
        <v>221</v>
      </c>
      <c r="B23" s="140" t="s">
        <v>222</v>
      </c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"/>
      <c r="R23" s="1"/>
    </row>
    <row r="24" spans="1:18" ht="24" customHeight="1" x14ac:dyDescent="0.3">
      <c r="A24" s="59" t="s">
        <v>223</v>
      </c>
      <c r="B24" s="140" t="s">
        <v>224</v>
      </c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"/>
      <c r="R24" s="1"/>
    </row>
    <row r="25" spans="1:18" ht="24" customHeight="1" x14ac:dyDescent="0.3">
      <c r="A25" s="59" t="s">
        <v>225</v>
      </c>
      <c r="B25" s="140" t="s">
        <v>226</v>
      </c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"/>
      <c r="R25" s="1"/>
    </row>
    <row r="26" spans="1:18" ht="24" customHeight="1" x14ac:dyDescent="0.3">
      <c r="A26" s="59" t="s">
        <v>227</v>
      </c>
      <c r="B26" s="140" t="s">
        <v>228</v>
      </c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"/>
      <c r="R26" s="1"/>
    </row>
    <row r="27" spans="1:18" ht="24" customHeight="1" x14ac:dyDescent="0.3">
      <c r="A27" s="59" t="s">
        <v>229</v>
      </c>
      <c r="B27" s="140" t="s">
        <v>230</v>
      </c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"/>
      <c r="R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</sheetData>
  <mergeCells count="10">
    <mergeCell ref="A1:P1"/>
    <mergeCell ref="B22:P22"/>
    <mergeCell ref="B23:P23"/>
    <mergeCell ref="B27:P27"/>
    <mergeCell ref="A3:I3"/>
    <mergeCell ref="A21:P21"/>
    <mergeCell ref="B26:P26"/>
    <mergeCell ref="A15:F15"/>
    <mergeCell ref="B25:P25"/>
    <mergeCell ref="B24:P24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1:T80"/>
  <sheetViews>
    <sheetView showGridLines="0" topLeftCell="A3" workbookViewId="0">
      <selection activeCell="K27" sqref="K27"/>
    </sheetView>
  </sheetViews>
  <sheetFormatPr defaultRowHeight="14.4" x14ac:dyDescent="0.3"/>
  <cols>
    <col min="1" max="2" width="18" customWidth="1"/>
    <col min="3" max="3" width="10" customWidth="1"/>
    <col min="4" max="4" width="18" customWidth="1"/>
    <col min="5" max="5" width="12" customWidth="1"/>
    <col min="6" max="6" width="10" customWidth="1"/>
    <col min="7" max="7" width="30" customWidth="1"/>
  </cols>
  <sheetData>
    <row r="1" spans="1:20" ht="36" customHeight="1" x14ac:dyDescent="0.3">
      <c r="A1" s="139" t="s">
        <v>231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"/>
      <c r="T1" s="1"/>
    </row>
    <row r="2" spans="1:2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2.05" customHeight="1" x14ac:dyDescent="0.3">
      <c r="A3" s="133" t="s">
        <v>232</v>
      </c>
      <c r="B3" s="119"/>
      <c r="C3" s="119"/>
      <c r="D3" s="119"/>
      <c r="E3" s="119"/>
      <c r="F3" s="119"/>
      <c r="G3" s="11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44" t="s">
        <v>233</v>
      </c>
      <c r="B4" s="44" t="s">
        <v>77</v>
      </c>
      <c r="C4" s="44" t="s">
        <v>78</v>
      </c>
      <c r="D4" s="44" t="s">
        <v>119</v>
      </c>
      <c r="E4" s="44" t="s">
        <v>80</v>
      </c>
      <c r="F4" s="44" t="s">
        <v>120</v>
      </c>
      <c r="G4" s="44" t="s">
        <v>234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8" customHeight="1" x14ac:dyDescent="0.3">
      <c r="A5" s="13" t="s">
        <v>36</v>
      </c>
      <c r="B5" s="33">
        <v>36655842</v>
      </c>
      <c r="C5" s="15">
        <v>5399</v>
      </c>
      <c r="D5" s="16">
        <v>6789.38</v>
      </c>
      <c r="E5" s="17">
        <v>0.28270716195823709</v>
      </c>
      <c r="F5" s="18">
        <v>1</v>
      </c>
      <c r="G5" s="9" t="s">
        <v>235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8" customHeight="1" x14ac:dyDescent="0.3">
      <c r="A6" s="19" t="s">
        <v>236</v>
      </c>
      <c r="B6" s="21">
        <v>17121041</v>
      </c>
      <c r="C6" s="21">
        <v>2504</v>
      </c>
      <c r="D6" s="22">
        <v>6837.48</v>
      </c>
      <c r="E6" s="23">
        <v>0.1320455525446835</v>
      </c>
      <c r="F6" s="24">
        <v>2</v>
      </c>
      <c r="G6" s="5" t="s">
        <v>237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8" customHeight="1" x14ac:dyDescent="0.3">
      <c r="A7" s="13" t="s">
        <v>238</v>
      </c>
      <c r="B7" s="15">
        <v>11629239</v>
      </c>
      <c r="C7" s="15">
        <v>1746</v>
      </c>
      <c r="D7" s="16">
        <v>6660.5</v>
      </c>
      <c r="E7" s="17">
        <v>8.9690182356854525E-2</v>
      </c>
      <c r="F7" s="18">
        <v>3</v>
      </c>
      <c r="G7" s="9" t="s">
        <v>239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8" customHeight="1" x14ac:dyDescent="0.3">
      <c r="A8" s="19" t="s">
        <v>240</v>
      </c>
      <c r="B8" s="21">
        <v>10542284</v>
      </c>
      <c r="C8" s="21">
        <v>1547</v>
      </c>
      <c r="D8" s="22">
        <v>6814.66</v>
      </c>
      <c r="E8" s="23">
        <v>8.1307072149583465E-2</v>
      </c>
      <c r="F8" s="24">
        <v>4</v>
      </c>
      <c r="G8" s="5" t="s">
        <v>241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customHeight="1" x14ac:dyDescent="0.3">
      <c r="A9" s="13" t="s">
        <v>242</v>
      </c>
      <c r="B9" s="15">
        <v>9547556</v>
      </c>
      <c r="C9" s="15">
        <v>1730</v>
      </c>
      <c r="D9" s="16">
        <v>5518.82</v>
      </c>
      <c r="E9" s="17">
        <v>7.3635260114808934E-2</v>
      </c>
      <c r="F9" s="18">
        <v>5</v>
      </c>
      <c r="G9" s="9" t="s">
        <v>243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8" customHeight="1" x14ac:dyDescent="0.3">
      <c r="A10" s="19" t="s">
        <v>244</v>
      </c>
      <c r="B10" s="21">
        <v>7130551</v>
      </c>
      <c r="C10" s="21">
        <v>985</v>
      </c>
      <c r="D10" s="22">
        <v>7239.14</v>
      </c>
      <c r="E10" s="23">
        <v>5.4994176273688369E-2</v>
      </c>
      <c r="F10" s="24">
        <v>6</v>
      </c>
      <c r="G10" s="5" t="s">
        <v>245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8" customHeight="1" x14ac:dyDescent="0.3">
      <c r="A11" s="13" t="s">
        <v>246</v>
      </c>
      <c r="B11" s="15">
        <v>7127722</v>
      </c>
      <c r="C11" s="15">
        <v>1103</v>
      </c>
      <c r="D11" s="16">
        <v>6462.12</v>
      </c>
      <c r="E11" s="17">
        <v>5.4972357689868093E-2</v>
      </c>
      <c r="F11" s="18">
        <v>7</v>
      </c>
      <c r="G11" s="9" t="s">
        <v>247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8" customHeight="1" x14ac:dyDescent="0.3">
      <c r="A12" s="19" t="s">
        <v>248</v>
      </c>
      <c r="B12" s="21">
        <v>7125248</v>
      </c>
      <c r="C12" s="21">
        <v>1317</v>
      </c>
      <c r="D12" s="22">
        <v>5410.21</v>
      </c>
      <c r="E12" s="23">
        <v>5.4953277033674607E-2</v>
      </c>
      <c r="F12" s="24">
        <v>8</v>
      </c>
      <c r="G12" s="5" t="s">
        <v>249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8" customHeight="1" x14ac:dyDescent="0.3">
      <c r="A13" s="13" t="s">
        <v>250</v>
      </c>
      <c r="B13" s="15">
        <v>6292139</v>
      </c>
      <c r="C13" s="15">
        <v>1028</v>
      </c>
      <c r="D13" s="16">
        <v>6120.76</v>
      </c>
      <c r="E13" s="17">
        <v>4.8527947041476782E-2</v>
      </c>
      <c r="F13" s="18">
        <v>9</v>
      </c>
      <c r="G13" s="9" t="s">
        <v>251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8" customHeight="1" x14ac:dyDescent="0.3">
      <c r="A14" s="19" t="s">
        <v>252</v>
      </c>
      <c r="B14" s="21">
        <v>6066289</v>
      </c>
      <c r="C14" s="21">
        <v>1178</v>
      </c>
      <c r="D14" s="22">
        <v>5149.6499999999996</v>
      </c>
      <c r="E14" s="23">
        <v>4.6786085197783003E-2</v>
      </c>
      <c r="F14" s="24">
        <v>10</v>
      </c>
      <c r="G14" s="5" t="s">
        <v>253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8" customHeight="1" x14ac:dyDescent="0.3">
      <c r="A15" s="13" t="s">
        <v>254</v>
      </c>
      <c r="B15" s="15">
        <v>5688654</v>
      </c>
      <c r="C15" s="15">
        <v>868</v>
      </c>
      <c r="D15" s="16">
        <v>6553.75</v>
      </c>
      <c r="E15" s="17">
        <v>4.38735857630108E-2</v>
      </c>
      <c r="F15" s="18">
        <v>11</v>
      </c>
      <c r="G15" s="9" t="s">
        <v>255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8" customHeight="1" x14ac:dyDescent="0.3">
      <c r="A16" s="19" t="s">
        <v>256</v>
      </c>
      <c r="B16" s="35">
        <v>4733546</v>
      </c>
      <c r="C16" s="21">
        <v>634</v>
      </c>
      <c r="D16" s="22">
        <v>7466.16</v>
      </c>
      <c r="E16" s="23">
        <v>3.6507341876330798E-2</v>
      </c>
      <c r="F16" s="24">
        <v>12</v>
      </c>
      <c r="G16" s="5" t="s">
        <v>257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22.05" customHeight="1" x14ac:dyDescent="0.3">
      <c r="A19" s="132" t="s">
        <v>258</v>
      </c>
      <c r="B19" s="119"/>
      <c r="C19" s="119"/>
      <c r="D19" s="119"/>
      <c r="E19" s="119"/>
      <c r="F19" s="119"/>
      <c r="G19" s="11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2" t="s">
        <v>259</v>
      </c>
      <c r="B20" s="2" t="s">
        <v>77</v>
      </c>
      <c r="C20" s="2" t="s">
        <v>78</v>
      </c>
      <c r="D20" s="2" t="s">
        <v>119</v>
      </c>
      <c r="E20" s="2" t="s">
        <v>80</v>
      </c>
      <c r="F20" s="2" t="s">
        <v>120</v>
      </c>
      <c r="G20" s="2" t="s">
        <v>260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8" customHeight="1" x14ac:dyDescent="0.3">
      <c r="A21" s="13" t="s">
        <v>261</v>
      </c>
      <c r="B21" s="33">
        <v>5025266</v>
      </c>
      <c r="C21" s="15">
        <v>435</v>
      </c>
      <c r="D21" s="34">
        <v>11552</v>
      </c>
      <c r="E21" s="17">
        <v>0.21626085367605491</v>
      </c>
      <c r="F21" s="10" t="s">
        <v>49</v>
      </c>
      <c r="G21" s="9" t="s">
        <v>262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8" customHeight="1" x14ac:dyDescent="0.3">
      <c r="A22" s="19" t="s">
        <v>263</v>
      </c>
      <c r="B22" s="21">
        <v>1958408</v>
      </c>
      <c r="C22" s="21">
        <v>47</v>
      </c>
      <c r="D22" s="35">
        <v>41668</v>
      </c>
      <c r="E22" s="23">
        <v>8.4279515935278895E-2</v>
      </c>
      <c r="F22" s="6" t="s">
        <v>264</v>
      </c>
      <c r="G22" s="5" t="s">
        <v>265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8" customHeight="1" x14ac:dyDescent="0.3">
      <c r="A23" s="13" t="s">
        <v>266</v>
      </c>
      <c r="B23" s="15">
        <v>1952881</v>
      </c>
      <c r="C23" s="15">
        <v>169</v>
      </c>
      <c r="D23" s="34">
        <v>11556</v>
      </c>
      <c r="E23" s="17">
        <v>8.4041663105544603E-2</v>
      </c>
      <c r="F23" s="10" t="s">
        <v>267</v>
      </c>
      <c r="G23" s="9" t="s">
        <v>268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8" customHeight="1" x14ac:dyDescent="0.3">
      <c r="A24" s="19" t="s">
        <v>269</v>
      </c>
      <c r="B24" s="21">
        <v>1787100</v>
      </c>
      <c r="C24" s="21">
        <v>318</v>
      </c>
      <c r="D24" s="35">
        <v>5620</v>
      </c>
      <c r="E24" s="23">
        <v>7.6907326220040415E-2</v>
      </c>
      <c r="F24" s="5" t="s">
        <v>270</v>
      </c>
      <c r="G24" s="5" t="s">
        <v>271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8" customHeight="1" x14ac:dyDescent="0.3">
      <c r="A25" s="13" t="s">
        <v>272</v>
      </c>
      <c r="B25" s="15">
        <v>1668292</v>
      </c>
      <c r="C25" s="15">
        <v>13</v>
      </c>
      <c r="D25" s="34">
        <v>128330</v>
      </c>
      <c r="E25" s="17">
        <v>7.1794458661677399E-2</v>
      </c>
      <c r="F25" s="9" t="s">
        <v>273</v>
      </c>
      <c r="G25" s="9" t="s">
        <v>274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8" customHeight="1" x14ac:dyDescent="0.3">
      <c r="A26" s="19" t="s">
        <v>275</v>
      </c>
      <c r="B26" s="21">
        <v>1655736</v>
      </c>
      <c r="C26" s="21">
        <v>37</v>
      </c>
      <c r="D26" s="35">
        <v>44749</v>
      </c>
      <c r="E26" s="23">
        <v>7.1254114871168284E-2</v>
      </c>
      <c r="F26" s="5" t="s">
        <v>276</v>
      </c>
      <c r="G26" s="5" t="s">
        <v>277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8" customHeight="1" x14ac:dyDescent="0.3">
      <c r="A27" s="13" t="s">
        <v>278</v>
      </c>
      <c r="B27" s="15">
        <v>1627731</v>
      </c>
      <c r="C27" s="15">
        <v>272</v>
      </c>
      <c r="D27" s="34">
        <v>5984</v>
      </c>
      <c r="E27" s="17">
        <v>7.0048927880629289E-2</v>
      </c>
      <c r="F27" s="9" t="s">
        <v>279</v>
      </c>
      <c r="G27" s="9" t="s">
        <v>280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8" customHeight="1" x14ac:dyDescent="0.3">
      <c r="A28" s="19" t="s">
        <v>281</v>
      </c>
      <c r="B28" s="21">
        <v>1605569</v>
      </c>
      <c r="C28" s="21">
        <v>308</v>
      </c>
      <c r="D28" s="35">
        <v>5213</v>
      </c>
      <c r="E28" s="23">
        <v>6.9095192687473606E-2</v>
      </c>
      <c r="F28" s="5" t="s">
        <v>282</v>
      </c>
      <c r="G28" s="5" t="s">
        <v>283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8" customHeight="1" x14ac:dyDescent="0.3">
      <c r="A29" s="13" t="s">
        <v>284</v>
      </c>
      <c r="B29" s="15">
        <v>1541849</v>
      </c>
      <c r="C29" s="15">
        <v>77</v>
      </c>
      <c r="D29" s="34">
        <v>20024</v>
      </c>
      <c r="E29" s="17">
        <v>6.6353021109643057E-2</v>
      </c>
      <c r="F29" s="9" t="s">
        <v>285</v>
      </c>
      <c r="G29" s="9" t="s">
        <v>286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8" customHeight="1" x14ac:dyDescent="0.3">
      <c r="A30" s="19" t="s">
        <v>287</v>
      </c>
      <c r="B30" s="21">
        <v>1510944</v>
      </c>
      <c r="C30" s="21">
        <v>1</v>
      </c>
      <c r="D30" s="35">
        <v>1510944</v>
      </c>
      <c r="E30" s="23">
        <v>6.5023033466629035E-2</v>
      </c>
      <c r="F30" s="5" t="s">
        <v>288</v>
      </c>
      <c r="G30" s="5" t="s">
        <v>289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8" customHeight="1" x14ac:dyDescent="0.3">
      <c r="A31" s="13" t="s">
        <v>290</v>
      </c>
      <c r="B31" s="15">
        <v>1477458</v>
      </c>
      <c r="C31" s="15">
        <v>1</v>
      </c>
      <c r="D31" s="34">
        <v>1477458</v>
      </c>
      <c r="E31" s="17">
        <v>6.3581973242912246E-2</v>
      </c>
      <c r="F31" s="9" t="s">
        <v>291</v>
      </c>
      <c r="G31" s="9" t="s">
        <v>289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8" customHeight="1" x14ac:dyDescent="0.3">
      <c r="A32" s="19" t="s">
        <v>292</v>
      </c>
      <c r="B32" s="21">
        <v>1425824</v>
      </c>
      <c r="C32" s="21">
        <v>226</v>
      </c>
      <c r="D32" s="35">
        <v>6309</v>
      </c>
      <c r="E32" s="23">
        <v>6.1359919142948298E-2</v>
      </c>
      <c r="F32" s="5" t="s">
        <v>293</v>
      </c>
      <c r="G32" s="5" t="s">
        <v>294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22.05" customHeight="1" x14ac:dyDescent="0.3">
      <c r="A35" s="132" t="s">
        <v>295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"/>
      <c r="R35" s="1"/>
      <c r="S35" s="1"/>
      <c r="T35" s="1"/>
    </row>
    <row r="36" spans="1:20" ht="24" customHeight="1" x14ac:dyDescent="0.3">
      <c r="A36" s="31" t="s">
        <v>296</v>
      </c>
      <c r="B36" s="140" t="s">
        <v>297</v>
      </c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"/>
      <c r="R36" s="1"/>
      <c r="S36" s="1"/>
      <c r="T36" s="1"/>
    </row>
    <row r="37" spans="1:20" ht="24" customHeight="1" x14ac:dyDescent="0.3">
      <c r="A37" s="31" t="s">
        <v>298</v>
      </c>
      <c r="B37" s="140" t="s">
        <v>299</v>
      </c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"/>
      <c r="R37" s="1"/>
      <c r="S37" s="1"/>
      <c r="T37" s="1"/>
    </row>
    <row r="38" spans="1:20" ht="24" customHeight="1" x14ac:dyDescent="0.3">
      <c r="A38" s="31" t="s">
        <v>300</v>
      </c>
      <c r="B38" s="140" t="s">
        <v>301</v>
      </c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"/>
      <c r="R38" s="1"/>
      <c r="S38" s="1"/>
      <c r="T38" s="1"/>
    </row>
    <row r="39" spans="1:20" ht="24" customHeight="1" x14ac:dyDescent="0.3">
      <c r="A39" s="31" t="s">
        <v>302</v>
      </c>
      <c r="B39" s="140" t="s">
        <v>303</v>
      </c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"/>
      <c r="R39" s="1"/>
      <c r="S39" s="1"/>
      <c r="T39" s="1"/>
    </row>
    <row r="40" spans="1:20" ht="24" customHeight="1" x14ac:dyDescent="0.3">
      <c r="A40" s="31" t="s">
        <v>304</v>
      </c>
      <c r="B40" s="140" t="s">
        <v>305</v>
      </c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"/>
      <c r="R40" s="1"/>
      <c r="S40" s="1"/>
      <c r="T40" s="1"/>
    </row>
    <row r="41" spans="1:20" ht="24" customHeight="1" x14ac:dyDescent="0.3">
      <c r="A41" s="31" t="s">
        <v>306</v>
      </c>
      <c r="B41" s="140" t="s">
        <v>307</v>
      </c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"/>
      <c r="R41" s="1"/>
      <c r="S41" s="1"/>
      <c r="T41" s="1"/>
    </row>
    <row r="42" spans="1:2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</sheetData>
  <mergeCells count="10">
    <mergeCell ref="B41:P41"/>
    <mergeCell ref="A1:R1"/>
    <mergeCell ref="B40:P40"/>
    <mergeCell ref="A19:G19"/>
    <mergeCell ref="B39:P39"/>
    <mergeCell ref="B38:P38"/>
    <mergeCell ref="A3:G3"/>
    <mergeCell ref="B36:P36"/>
    <mergeCell ref="B37:P37"/>
    <mergeCell ref="A35:P35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B82F6"/>
  </sheetPr>
  <dimension ref="A1:P60"/>
  <sheetViews>
    <sheetView showGridLines="0" workbookViewId="0">
      <selection activeCell="A4" sqref="A4"/>
    </sheetView>
  </sheetViews>
  <sheetFormatPr defaultRowHeight="14.4" x14ac:dyDescent="0.3"/>
  <cols>
    <col min="1" max="2" width="18" customWidth="1"/>
    <col min="3" max="3" width="12" customWidth="1"/>
    <col min="4" max="4" width="18" customWidth="1"/>
    <col min="5" max="5" width="12" customWidth="1"/>
    <col min="6" max="7" width="14" customWidth="1"/>
    <col min="8" max="8" width="35" bestFit="1" customWidth="1"/>
  </cols>
  <sheetData>
    <row r="1" spans="1:16" ht="36" customHeight="1" x14ac:dyDescent="0.3">
      <c r="A1" s="149" t="s">
        <v>308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2.05" customHeight="1" x14ac:dyDescent="0.3">
      <c r="A3" s="150" t="s">
        <v>309</v>
      </c>
      <c r="B3" s="121"/>
      <c r="C3" s="121"/>
      <c r="D3" s="121"/>
      <c r="E3" s="121"/>
      <c r="F3" s="121"/>
      <c r="G3" s="121"/>
      <c r="H3" s="121"/>
      <c r="I3" s="1"/>
      <c r="J3" s="1"/>
      <c r="K3" s="1"/>
      <c r="L3" s="1"/>
      <c r="M3" s="1"/>
      <c r="N3" s="1"/>
      <c r="O3" s="1"/>
      <c r="P3" s="1"/>
    </row>
    <row r="4" spans="1:16" x14ac:dyDescent="0.3">
      <c r="A4" s="60" t="s">
        <v>310</v>
      </c>
      <c r="B4" s="60" t="s">
        <v>77</v>
      </c>
      <c r="C4" s="60" t="s">
        <v>78</v>
      </c>
      <c r="D4" s="60" t="s">
        <v>119</v>
      </c>
      <c r="E4" s="60" t="s">
        <v>80</v>
      </c>
      <c r="F4" s="60" t="s">
        <v>311</v>
      </c>
      <c r="G4" s="60" t="s">
        <v>312</v>
      </c>
      <c r="H4" s="60" t="s">
        <v>234</v>
      </c>
      <c r="I4" s="1"/>
      <c r="J4" s="1"/>
      <c r="K4" s="1"/>
      <c r="L4" s="1"/>
      <c r="M4" s="1"/>
      <c r="N4" s="1"/>
      <c r="O4" s="1"/>
      <c r="P4" s="1"/>
    </row>
    <row r="5" spans="1:16" ht="19.95" customHeight="1" x14ac:dyDescent="0.3">
      <c r="A5" s="13" t="s">
        <v>313</v>
      </c>
      <c r="B5" s="15">
        <v>93568402</v>
      </c>
      <c r="C5" s="15">
        <v>14602</v>
      </c>
      <c r="D5" s="16">
        <v>6407.92</v>
      </c>
      <c r="E5" s="17">
        <v>9.4842610768507904E-2</v>
      </c>
      <c r="F5" s="9"/>
      <c r="G5" s="9"/>
      <c r="H5" s="9" t="s">
        <v>314</v>
      </c>
      <c r="I5" s="1"/>
      <c r="J5" s="1"/>
      <c r="K5" s="1"/>
      <c r="L5" s="1"/>
      <c r="M5" s="1"/>
      <c r="N5" s="1"/>
      <c r="O5" s="1"/>
      <c r="P5" s="1"/>
    </row>
    <row r="6" spans="1:16" ht="19.95" customHeight="1" x14ac:dyDescent="0.3">
      <c r="A6" s="19" t="s">
        <v>315</v>
      </c>
      <c r="B6" s="61">
        <v>414308943</v>
      </c>
      <c r="C6" s="21">
        <v>60866</v>
      </c>
      <c r="D6" s="22">
        <v>6806.9</v>
      </c>
      <c r="E6" s="23">
        <v>0.41995097681438359</v>
      </c>
      <c r="F6" s="53" t="s">
        <v>316</v>
      </c>
      <c r="G6" s="5" t="s">
        <v>317</v>
      </c>
      <c r="H6" s="5" t="s">
        <v>318</v>
      </c>
      <c r="I6" s="1"/>
      <c r="J6" s="1"/>
      <c r="K6" s="1"/>
      <c r="L6" s="1"/>
      <c r="M6" s="1"/>
      <c r="N6" s="1"/>
      <c r="O6" s="1"/>
      <c r="P6" s="1"/>
    </row>
    <row r="7" spans="1:16" ht="19.95" customHeight="1" x14ac:dyDescent="0.3">
      <c r="A7" s="13" t="s">
        <v>319</v>
      </c>
      <c r="B7" s="62">
        <v>336452114</v>
      </c>
      <c r="C7" s="15">
        <v>51817</v>
      </c>
      <c r="D7" s="16">
        <v>6493.08</v>
      </c>
      <c r="E7" s="17">
        <v>0.34103389828484681</v>
      </c>
      <c r="F7" s="57" t="s">
        <v>320</v>
      </c>
      <c r="G7" s="9" t="s">
        <v>321</v>
      </c>
      <c r="H7" s="9" t="s">
        <v>322</v>
      </c>
      <c r="I7" s="1"/>
      <c r="J7" s="1"/>
      <c r="K7" s="1"/>
      <c r="L7" s="1"/>
      <c r="M7" s="1"/>
      <c r="N7" s="1"/>
      <c r="O7" s="1"/>
      <c r="P7" s="1"/>
    </row>
    <row r="8" spans="1:16" ht="19.95" customHeight="1" x14ac:dyDescent="0.3">
      <c r="A8" s="19" t="s">
        <v>323</v>
      </c>
      <c r="B8" s="21">
        <v>142235559</v>
      </c>
      <c r="C8" s="21">
        <v>21385</v>
      </c>
      <c r="D8" s="22">
        <v>6651.18</v>
      </c>
      <c r="E8" s="23">
        <v>0.1441725141322617</v>
      </c>
      <c r="F8" s="55" t="s">
        <v>324</v>
      </c>
      <c r="G8" s="5" t="s">
        <v>325</v>
      </c>
      <c r="H8" s="5" t="s">
        <v>326</v>
      </c>
      <c r="I8" s="1"/>
      <c r="J8" s="1"/>
      <c r="K8" s="1"/>
      <c r="L8" s="1"/>
      <c r="M8" s="1"/>
      <c r="N8" s="1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2.05" customHeight="1" x14ac:dyDescent="0.3">
      <c r="A11" s="151" t="s">
        <v>327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"/>
      <c r="P11" s="1"/>
    </row>
    <row r="12" spans="1:16" ht="24" customHeight="1" x14ac:dyDescent="0.3">
      <c r="A12" s="63" t="s">
        <v>328</v>
      </c>
      <c r="B12" s="140" t="s">
        <v>329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"/>
      <c r="P12" s="1"/>
    </row>
    <row r="13" spans="1:16" ht="24" customHeight="1" x14ac:dyDescent="0.3">
      <c r="A13" s="63" t="s">
        <v>330</v>
      </c>
      <c r="B13" s="140" t="s">
        <v>331</v>
      </c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"/>
      <c r="P13" s="1"/>
    </row>
    <row r="14" spans="1:16" ht="24" customHeight="1" x14ac:dyDescent="0.3">
      <c r="A14" s="63" t="s">
        <v>332</v>
      </c>
      <c r="B14" s="140" t="s">
        <v>333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"/>
      <c r="P14" s="1"/>
    </row>
    <row r="15" spans="1:16" ht="24" customHeight="1" x14ac:dyDescent="0.3">
      <c r="A15" s="63" t="s">
        <v>334</v>
      </c>
      <c r="B15" s="140" t="s">
        <v>335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"/>
      <c r="P15" s="1"/>
    </row>
    <row r="16" spans="1:16" ht="24" customHeight="1" x14ac:dyDescent="0.3">
      <c r="A16" s="63" t="s">
        <v>336</v>
      </c>
      <c r="B16" s="140" t="s">
        <v>337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8">
    <mergeCell ref="B15:N15"/>
    <mergeCell ref="B16:N16"/>
    <mergeCell ref="A1:N1"/>
    <mergeCell ref="A3:H3"/>
    <mergeCell ref="B14:N14"/>
    <mergeCell ref="B12:N12"/>
    <mergeCell ref="B13:N13"/>
    <mergeCell ref="A11:N1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23744"/>
  </sheetPr>
  <dimension ref="A1:R120"/>
  <sheetViews>
    <sheetView showGridLines="0" workbookViewId="0">
      <selection activeCell="A13" sqref="A13:R13"/>
    </sheetView>
  </sheetViews>
  <sheetFormatPr defaultRowHeight="14.4" x14ac:dyDescent="0.3"/>
  <cols>
    <col min="1" max="1" width="6" customWidth="1"/>
    <col min="2" max="2" width="30" customWidth="1"/>
    <col min="3" max="3" width="90" customWidth="1"/>
  </cols>
  <sheetData>
    <row r="1" spans="1:18" ht="40.049999999999997" customHeight="1" x14ac:dyDescent="0.3">
      <c r="A1" s="153" t="s">
        <v>338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2" spans="1:18" ht="7.9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7.9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5.95" customHeight="1" x14ac:dyDescent="0.3">
      <c r="A4" s="132" t="s">
        <v>339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</row>
    <row r="5" spans="1:18" ht="72" customHeight="1" x14ac:dyDescent="0.3">
      <c r="A5" s="152" t="s">
        <v>340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</row>
    <row r="6" spans="1:18" ht="7.9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5.95" customHeight="1" x14ac:dyDescent="0.3">
      <c r="A7" s="154" t="s">
        <v>341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</row>
    <row r="8" spans="1:18" ht="72" customHeight="1" x14ac:dyDescent="0.3">
      <c r="A8" s="152" t="s">
        <v>342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</row>
    <row r="9" spans="1:18" ht="7.9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5.95" customHeight="1" x14ac:dyDescent="0.3">
      <c r="A10" s="146" t="s">
        <v>343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</row>
    <row r="11" spans="1:18" ht="72" customHeight="1" x14ac:dyDescent="0.3">
      <c r="A11" s="152" t="s">
        <v>344</v>
      </c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</row>
    <row r="12" spans="1:18" ht="7.9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5.95" customHeight="1" x14ac:dyDescent="0.3">
      <c r="A13" s="143" t="s">
        <v>345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</row>
    <row r="14" spans="1:18" ht="72" customHeight="1" x14ac:dyDescent="0.3">
      <c r="A14" s="152" t="s">
        <v>346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</row>
    <row r="15" spans="1:18" ht="7.9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5.95" customHeight="1" x14ac:dyDescent="0.3">
      <c r="A16" s="148" t="s">
        <v>347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</row>
    <row r="17" spans="1:18" ht="72" customHeight="1" x14ac:dyDescent="0.3">
      <c r="A17" s="152" t="s">
        <v>348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</row>
    <row r="18" spans="1:18" ht="7.9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5.95" customHeight="1" x14ac:dyDescent="0.3">
      <c r="A19" s="145" t="s">
        <v>349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</row>
    <row r="20" spans="1:18" ht="72" customHeight="1" x14ac:dyDescent="0.3">
      <c r="A20" s="152" t="s">
        <v>350</v>
      </c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</row>
    <row r="21" spans="1:18" ht="7.9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5.95" customHeight="1" x14ac:dyDescent="0.3">
      <c r="A22" s="154" t="s">
        <v>351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</row>
    <row r="23" spans="1:18" ht="72" customHeight="1" x14ac:dyDescent="0.3">
      <c r="A23" s="152" t="s">
        <v>352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</row>
    <row r="24" spans="1:18" ht="7.9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5.95" customHeight="1" x14ac:dyDescent="0.3">
      <c r="A25" s="155" t="s">
        <v>353</v>
      </c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</row>
    <row r="26" spans="1:18" ht="72" customHeight="1" x14ac:dyDescent="0.3">
      <c r="A26" s="152" t="s">
        <v>354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</row>
    <row r="27" spans="1:18" ht="7.9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25.95" customHeight="1" x14ac:dyDescent="0.3">
      <c r="A28" s="132" t="s">
        <v>355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</row>
    <row r="29" spans="1:18" ht="72" customHeight="1" x14ac:dyDescent="0.3">
      <c r="A29" s="152" t="s">
        <v>356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</row>
    <row r="30" spans="1:18" ht="7.9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5.95" customHeight="1" x14ac:dyDescent="0.3">
      <c r="A31" s="146" t="s">
        <v>357</v>
      </c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</row>
    <row r="32" spans="1:18" ht="72" customHeight="1" x14ac:dyDescent="0.3">
      <c r="A32" s="152" t="s">
        <v>358</v>
      </c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</sheetData>
  <mergeCells count="21">
    <mergeCell ref="A1:R1"/>
    <mergeCell ref="A4:R4"/>
    <mergeCell ref="A20:R20"/>
    <mergeCell ref="A29:R29"/>
    <mergeCell ref="A19:R19"/>
    <mergeCell ref="A10:R10"/>
    <mergeCell ref="A28:R28"/>
    <mergeCell ref="A13:R13"/>
    <mergeCell ref="A11:R11"/>
    <mergeCell ref="A5:R5"/>
    <mergeCell ref="A17:R17"/>
    <mergeCell ref="A23:R23"/>
    <mergeCell ref="A8:R8"/>
    <mergeCell ref="A22:R22"/>
    <mergeCell ref="A7:R7"/>
    <mergeCell ref="A25:R25"/>
    <mergeCell ref="A16:R16"/>
    <mergeCell ref="A26:R26"/>
    <mergeCell ref="A32:R32"/>
    <mergeCell ref="A14:R14"/>
    <mergeCell ref="A31:R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23744"/>
  </sheetPr>
  <dimension ref="A1:N30"/>
  <sheetViews>
    <sheetView showGridLines="0" workbookViewId="0">
      <selection activeCell="A18" sqref="A18:I18"/>
    </sheetView>
  </sheetViews>
  <sheetFormatPr defaultRowHeight="14.4" x14ac:dyDescent="0.3"/>
  <cols>
    <col min="1" max="1" width="8" customWidth="1"/>
    <col min="2" max="8" width="10" customWidth="1"/>
  </cols>
  <sheetData>
    <row r="1" spans="1:14" ht="36" customHeight="1" x14ac:dyDescent="0.3">
      <c r="A1" s="118" t="s">
        <v>359</v>
      </c>
      <c r="B1" s="119"/>
      <c r="C1" s="119"/>
      <c r="D1" s="119"/>
      <c r="E1" s="119"/>
      <c r="F1" s="119"/>
      <c r="G1" s="119"/>
      <c r="H1" s="119"/>
      <c r="I1" s="119"/>
      <c r="J1" s="1"/>
      <c r="K1" s="1"/>
      <c r="L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4" ht="22.05" customHeight="1" x14ac:dyDescent="0.3">
      <c r="A3" s="64" t="s">
        <v>76</v>
      </c>
      <c r="B3" s="64" t="s">
        <v>360</v>
      </c>
      <c r="C3" s="64" t="s">
        <v>361</v>
      </c>
      <c r="D3" s="64" t="s">
        <v>362</v>
      </c>
      <c r="E3" s="64" t="s">
        <v>363</v>
      </c>
      <c r="F3" s="64" t="s">
        <v>364</v>
      </c>
      <c r="G3" s="64" t="s">
        <v>365</v>
      </c>
      <c r="H3" s="64" t="s">
        <v>366</v>
      </c>
      <c r="I3" s="1"/>
      <c r="J3" s="1"/>
      <c r="K3" s="1"/>
      <c r="L3" s="1"/>
    </row>
    <row r="4" spans="1:14" ht="19.95" customHeight="1" x14ac:dyDescent="0.3">
      <c r="A4" s="65" t="s">
        <v>84</v>
      </c>
      <c r="B4" s="66">
        <v>195.83</v>
      </c>
      <c r="C4" s="67">
        <v>200.48</v>
      </c>
      <c r="D4" s="68">
        <v>165.2</v>
      </c>
      <c r="E4" s="68">
        <v>164.89</v>
      </c>
      <c r="F4" s="69">
        <v>270.55</v>
      </c>
      <c r="G4" s="70" t="s">
        <v>367</v>
      </c>
      <c r="H4" s="70" t="s">
        <v>367</v>
      </c>
      <c r="I4" s="1"/>
      <c r="J4" s="1"/>
      <c r="K4" s="1"/>
      <c r="L4" s="1"/>
    </row>
    <row r="5" spans="1:14" ht="19.95" customHeight="1" x14ac:dyDescent="0.3">
      <c r="A5" s="65" t="s">
        <v>87</v>
      </c>
      <c r="B5" s="71">
        <v>148.52000000000001</v>
      </c>
      <c r="C5" s="71">
        <v>149.57</v>
      </c>
      <c r="D5" s="72">
        <v>193.98</v>
      </c>
      <c r="E5" s="71">
        <v>149.94</v>
      </c>
      <c r="F5" s="73">
        <v>250.96</v>
      </c>
      <c r="G5" s="70" t="s">
        <v>367</v>
      </c>
      <c r="H5" s="70" t="s">
        <v>367</v>
      </c>
      <c r="I5" s="1"/>
      <c r="J5" s="1"/>
      <c r="K5" s="1"/>
      <c r="L5" s="1"/>
    </row>
    <row r="6" spans="1:14" ht="19.95" customHeight="1" x14ac:dyDescent="0.3">
      <c r="A6" s="65" t="s">
        <v>88</v>
      </c>
      <c r="B6" s="74">
        <v>156.25</v>
      </c>
      <c r="C6" s="75">
        <v>160.06</v>
      </c>
      <c r="D6" s="76">
        <v>136.76</v>
      </c>
      <c r="E6" s="77">
        <v>179.53</v>
      </c>
      <c r="F6" s="78">
        <v>293.33</v>
      </c>
      <c r="G6" s="79">
        <v>1.07</v>
      </c>
      <c r="H6" s="70" t="s">
        <v>367</v>
      </c>
      <c r="I6" s="1"/>
      <c r="J6" s="1"/>
      <c r="K6" s="1"/>
      <c r="L6" s="1"/>
    </row>
    <row r="7" spans="1:14" ht="19.95" customHeight="1" x14ac:dyDescent="0.3">
      <c r="A7" s="65" t="s">
        <v>89</v>
      </c>
      <c r="B7" s="80">
        <v>139.49</v>
      </c>
      <c r="C7" s="81">
        <v>209.34</v>
      </c>
      <c r="D7" s="82">
        <v>169.01</v>
      </c>
      <c r="E7" s="83">
        <v>206.72</v>
      </c>
      <c r="F7" s="84">
        <v>162.97</v>
      </c>
      <c r="G7" s="70" t="s">
        <v>367</v>
      </c>
      <c r="H7" s="70" t="s">
        <v>367</v>
      </c>
      <c r="I7" s="1"/>
      <c r="J7" s="1"/>
      <c r="K7" s="1"/>
      <c r="L7" s="1"/>
    </row>
    <row r="8" spans="1:14" ht="19.95" customHeight="1" x14ac:dyDescent="0.3">
      <c r="A8" s="65" t="s">
        <v>91</v>
      </c>
      <c r="B8" s="85">
        <v>126.85</v>
      </c>
      <c r="C8" s="71">
        <v>150.36000000000001</v>
      </c>
      <c r="D8" s="86">
        <v>182.54</v>
      </c>
      <c r="E8" s="87">
        <v>146.97</v>
      </c>
      <c r="F8" s="88">
        <v>225.1</v>
      </c>
      <c r="G8" s="89">
        <v>4.25</v>
      </c>
      <c r="H8" s="70" t="s">
        <v>367</v>
      </c>
      <c r="I8" s="1"/>
      <c r="J8" s="1"/>
      <c r="K8" s="1"/>
      <c r="L8" s="1"/>
    </row>
    <row r="9" spans="1:14" ht="19.95" customHeight="1" x14ac:dyDescent="0.3">
      <c r="A9" s="65" t="s">
        <v>92</v>
      </c>
      <c r="B9" s="90">
        <v>128.21</v>
      </c>
      <c r="C9" s="91">
        <v>117.62</v>
      </c>
      <c r="D9" s="92">
        <v>132.24</v>
      </c>
      <c r="E9" s="93">
        <v>150.75</v>
      </c>
      <c r="F9" s="94">
        <v>220.03</v>
      </c>
      <c r="G9" s="95">
        <v>1.71</v>
      </c>
      <c r="H9" s="96" t="s">
        <v>367</v>
      </c>
      <c r="I9" s="1"/>
      <c r="J9" s="1"/>
      <c r="K9" s="1"/>
      <c r="L9" s="1"/>
    </row>
    <row r="10" spans="1:14" ht="19.8" customHeight="1" x14ac:dyDescent="0.3">
      <c r="A10" s="65" t="s">
        <v>93</v>
      </c>
      <c r="B10" s="97">
        <v>138.54</v>
      </c>
      <c r="C10" s="98">
        <v>119.56</v>
      </c>
      <c r="D10" s="99">
        <v>157.35</v>
      </c>
      <c r="E10" s="76">
        <v>136.25</v>
      </c>
      <c r="F10" s="84">
        <v>161.54</v>
      </c>
      <c r="G10" s="70" t="s">
        <v>367</v>
      </c>
      <c r="H10" s="70" t="s">
        <v>367</v>
      </c>
      <c r="I10" s="1"/>
      <c r="J10" s="1"/>
      <c r="K10" s="1"/>
      <c r="L10" s="1"/>
      <c r="M10" s="121"/>
      <c r="N10" s="121"/>
    </row>
    <row r="11" spans="1:14" ht="19.95" customHeight="1" x14ac:dyDescent="0.3">
      <c r="A11" s="65" t="s">
        <v>96</v>
      </c>
      <c r="B11" s="98">
        <v>118.25</v>
      </c>
      <c r="C11" s="100">
        <v>122.14</v>
      </c>
      <c r="D11" s="98">
        <v>118.7</v>
      </c>
      <c r="E11" s="101">
        <v>134.55000000000001</v>
      </c>
      <c r="F11" s="102">
        <v>221.16</v>
      </c>
      <c r="G11" s="103">
        <v>1.24</v>
      </c>
      <c r="H11" s="70" t="s">
        <v>367</v>
      </c>
      <c r="I11" s="1"/>
      <c r="J11" s="1"/>
      <c r="K11" s="1"/>
      <c r="L11" s="1"/>
    </row>
    <row r="12" spans="1:14" ht="19.95" customHeight="1" x14ac:dyDescent="0.3">
      <c r="A12" s="65" t="s">
        <v>97</v>
      </c>
      <c r="B12" s="92">
        <v>132.87</v>
      </c>
      <c r="C12" s="104">
        <v>78.739999999999995</v>
      </c>
      <c r="D12" s="105">
        <v>112.89</v>
      </c>
      <c r="E12" s="106">
        <v>105.26</v>
      </c>
      <c r="F12" s="107">
        <v>121.09</v>
      </c>
      <c r="G12" s="70" t="s">
        <v>367</v>
      </c>
      <c r="H12" s="70" t="s">
        <v>367</v>
      </c>
      <c r="I12" s="1"/>
      <c r="J12" s="1"/>
      <c r="K12" s="1"/>
      <c r="L12" s="1"/>
    </row>
    <row r="13" spans="1:14" ht="19.95" customHeight="1" x14ac:dyDescent="0.3">
      <c r="A13" s="65" t="s">
        <v>98</v>
      </c>
      <c r="B13" s="87">
        <v>147.63999999999999</v>
      </c>
      <c r="C13" s="108">
        <v>154.74</v>
      </c>
      <c r="D13" s="109">
        <v>175.16</v>
      </c>
      <c r="E13" s="110">
        <v>114.85</v>
      </c>
      <c r="F13" s="111">
        <v>214.21</v>
      </c>
      <c r="G13" s="70" t="s">
        <v>367</v>
      </c>
      <c r="H13" s="70" t="s">
        <v>367</v>
      </c>
      <c r="I13" s="1"/>
      <c r="J13" s="1"/>
      <c r="K13" s="1"/>
      <c r="L13" s="1"/>
    </row>
    <row r="14" spans="1:14" ht="19.95" customHeight="1" x14ac:dyDescent="0.3">
      <c r="A14" s="65" t="s">
        <v>100</v>
      </c>
      <c r="B14" s="98">
        <v>118.17</v>
      </c>
      <c r="C14" s="112">
        <v>166.06</v>
      </c>
      <c r="D14" s="113">
        <v>189.61</v>
      </c>
      <c r="E14" s="77">
        <v>179.02</v>
      </c>
      <c r="F14" s="114">
        <v>279.61</v>
      </c>
      <c r="G14" s="70" t="s">
        <v>367</v>
      </c>
      <c r="H14" s="70" t="s">
        <v>367</v>
      </c>
      <c r="I14" s="1"/>
      <c r="J14" s="1"/>
      <c r="K14" s="1"/>
      <c r="L14" s="1"/>
    </row>
    <row r="15" spans="1:14" ht="19.95" customHeight="1" x14ac:dyDescent="0.3">
      <c r="A15" s="65" t="s">
        <v>101</v>
      </c>
      <c r="B15" s="115">
        <v>111.65</v>
      </c>
      <c r="C15" s="71">
        <v>149.77000000000001</v>
      </c>
      <c r="D15" s="116">
        <v>146.51</v>
      </c>
      <c r="E15" s="117">
        <v>217.64</v>
      </c>
      <c r="F15" s="102">
        <v>221.08</v>
      </c>
      <c r="G15" s="70" t="s">
        <v>367</v>
      </c>
      <c r="H15" s="70" t="s">
        <v>367</v>
      </c>
      <c r="I15" s="1"/>
      <c r="J15" s="1"/>
      <c r="K15" s="1"/>
      <c r="L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0.05000000000000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20" t="s">
        <v>368</v>
      </c>
      <c r="B18" s="119"/>
      <c r="C18" s="119"/>
      <c r="D18" s="119"/>
      <c r="E18" s="119"/>
      <c r="F18" s="119"/>
      <c r="G18" s="119"/>
      <c r="H18" s="119"/>
      <c r="I18" s="119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3">
    <mergeCell ref="A1:I1"/>
    <mergeCell ref="A18:I18"/>
    <mergeCell ref="M10:N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D3A2-7EFB-4C45-BCEA-C8867457D2A9}">
  <sheetPr>
    <tabColor theme="3" tint="0.39997558519241921"/>
  </sheetPr>
  <dimension ref="A1"/>
  <sheetViews>
    <sheetView workbookViewId="0">
      <selection activeCell="L19" sqref="L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Dashboard</vt:lpstr>
      <vt:lpstr>📅 Monthly Analysis</vt:lpstr>
      <vt:lpstr>🌆 City Analysis</vt:lpstr>
      <vt:lpstr>👥 Customer Demographics</vt:lpstr>
      <vt:lpstr>📅 Weekday Analysis</vt:lpstr>
      <vt:lpstr>🍛 Cuisine &amp; Restaurants</vt:lpstr>
      <vt:lpstr>📈 Year-over-Year</vt:lpstr>
      <vt:lpstr>🔬 Deep Insights</vt:lpstr>
      <vt:lpstr>🔥 Revenue Heatmap</vt:lpstr>
      <vt:lpstr>🔬Deep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Naweed Zaki</cp:lastModifiedBy>
  <dcterms:created xsi:type="dcterms:W3CDTF">2026-04-17T20:45:31Z</dcterms:created>
  <dcterms:modified xsi:type="dcterms:W3CDTF">2026-04-19T13:37:30Z</dcterms:modified>
</cp:coreProperties>
</file>